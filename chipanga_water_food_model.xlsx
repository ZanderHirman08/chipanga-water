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puts" sheetId="2" state="visible" r:id="rId4"/>
    <sheet name="Well_Solar" sheetId="3" state="visible" r:id="rId5"/>
    <sheet name="ET_Demand" sheetId="4" state="visible" r:id="rId6"/>
    <sheet name="Irrigation" sheetId="5" state="visible" r:id="rId7"/>
    <sheet name="Tank_Sizing" sheetId="6" state="visible" r:id="rId8"/>
    <sheet name="Food_Yield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model</author>
  </authors>
  <commentList>
    <comment ref="B6" authorId="0">
      <text>
        <r>
          <rPr>
            <sz val="10"/>
            <rFont val="Arial"/>
            <family val="2"/>
          </rPr>
          <t xml:space="preserve">Update if scope expands</t>
        </r>
      </text>
    </comment>
    <comment ref="B12" authorId="0">
      <text>
        <r>
          <rPr>
            <sz val="10"/>
            <rFont val="Arial"/>
            <family val="2"/>
          </rPr>
          <t xml:space="preserve">Per Charlie</t>
        </r>
      </text>
    </comment>
    <comment ref="B14" authorId="0">
      <text>
        <r>
          <rPr>
            <sz val="10"/>
            <rFont val="Arial"/>
            <family val="2"/>
          </rPr>
          <t xml:space="preserve">5000 L/hr per Charlie</t>
        </r>
      </text>
    </comment>
    <comment ref="B15" authorId="0">
      <text>
        <r>
          <rPr>
            <sz val="10"/>
            <rFont val="Arial"/>
            <family val="2"/>
          </rPr>
          <t xml:space="preserve">Apply 15% derate to nameplate to avoid drawdown</t>
        </r>
      </text>
    </comment>
    <comment ref="B20" authorId="0">
      <text>
        <r>
          <rPr>
            <sz val="10"/>
            <rFont val="Arial"/>
            <family val="2"/>
          </rPr>
          <t xml:space="preserve">Equator-region peak; tune to local irradiance data</t>
        </r>
      </text>
    </comment>
    <comment ref="B30" authorId="0">
      <text>
        <r>
          <rPr>
            <sz val="10"/>
            <rFont val="Arial"/>
            <family val="2"/>
          </rPr>
          <t xml:space="preserve">Updated 2026-05-10 from Charlie's KML: 55m × 55m = ~3,035 m² = 0.75 acre. Women's garden boundary (subdivided into 10 plots in field).</t>
        </r>
      </text>
    </comment>
    <comment ref="B32" authorId="0">
      <text>
        <r>
          <rPr>
            <sz val="10"/>
            <rFont val="Arial"/>
            <family val="2"/>
          </rPr>
          <t xml:space="preserve">Updated 2026-05-10 from Charlie's KML: 55m × 55m = ~3,035 m² = 0.75 acre.</t>
        </r>
      </text>
    </comment>
    <comment ref="B71" authorId="0">
      <text>
        <r>
          <rPr>
            <sz val="10"/>
            <rFont val="Arial"/>
            <family val="2"/>
          </rPr>
          <t xml:space="preserve">Typical bucket/can: lots of evaporation + runoff</t>
        </r>
      </text>
    </comment>
    <comment ref="B72" authorId="0">
      <text>
        <r>
          <rPr>
            <sz val="10"/>
            <rFont val="Arial"/>
            <family val="2"/>
          </rPr>
          <t xml:space="preserve">FAO range 85–95% for well-managed drip</t>
        </r>
      </text>
    </comment>
    <comment ref="B73" authorId="0">
      <text>
        <r>
          <rPr>
            <sz val="10"/>
            <rFont val="Arial"/>
            <family val="2"/>
          </rPr>
          <t xml:space="preserve">Reduces soil-surface evaporation</t>
        </r>
      </text>
    </comment>
    <comment ref="B74" authorId="0">
      <text>
        <r>
          <rPr>
            <sz val="10"/>
            <rFont val="Arial"/>
            <family val="2"/>
          </rPr>
          <t xml:space="preserve">Improves field capacity / organic matter</t>
        </r>
      </text>
    </comment>
    <comment ref="D37" authorId="0">
      <text>
        <r>
          <rPr>
            <sz val="10"/>
            <rFont val="Arial"/>
            <family val="2"/>
          </rPr>
          <t xml:space="preserve">Solar factor = fraction of peak useful sun hours in this month. 1.0 = peak.</t>
        </r>
      </text>
    </comment>
  </commentList>
</comments>
</file>

<file path=xl/sharedStrings.xml><?xml version="1.0" encoding="utf-8"?>
<sst xmlns="http://schemas.openxmlformats.org/spreadsheetml/2006/main" count="335" uniqueCount="208">
  <si>
    <t xml:space="preserve">Chipanga Water + Food Project — Summary</t>
  </si>
  <si>
    <t xml:space="preserve">Layered model: well + solar → tanks → drip-irrigated school + women's gardens</t>
  </si>
  <si>
    <t xml:space="preserve">Edit assumptions on the 'Inputs' tab — every number below recalculates.</t>
  </si>
  <si>
    <t xml:space="preserve">Water supply</t>
  </si>
  <si>
    <t xml:space="preserve">Metric</t>
  </si>
  <si>
    <t xml:space="preserve">Value</t>
  </si>
  <si>
    <t xml:space="preserve">Unit</t>
  </si>
  <si>
    <t xml:space="preserve">Source / note</t>
  </si>
  <si>
    <t xml:space="preserve">Pump rated output</t>
  </si>
  <si>
    <t xml:space="preserve">L/hr</t>
  </si>
  <si>
    <t xml:space="preserve">Avg daily supply (across year)</t>
  </si>
  <si>
    <t xml:space="preserve">L/day</t>
  </si>
  <si>
    <t xml:space="preserve">Annual water available</t>
  </si>
  <si>
    <t xml:space="preserve">L/year</t>
  </si>
  <si>
    <t xml:space="preserve">Total system storage</t>
  </si>
  <si>
    <t xml:space="preserve">L</t>
  </si>
  <si>
    <t xml:space="preserve">Garden buffer (tanks if pump down)</t>
  </si>
  <si>
    <t xml:space="preserve">days</t>
  </si>
  <si>
    <t xml:space="preserve">Garden area</t>
  </si>
  <si>
    <t xml:space="preserve">Women's garden</t>
  </si>
  <si>
    <t xml:space="preserve">m²</t>
  </si>
  <si>
    <t xml:space="preserve">1 acre ÷ 10 plots</t>
  </si>
  <si>
    <t xml:space="preserve">School garden</t>
  </si>
  <si>
    <t xml:space="preserve">Total productive area</t>
  </si>
  <si>
    <t xml:space="preserve">Food output (annual)</t>
  </si>
  <si>
    <t xml:space="preserve">Total food produced</t>
  </si>
  <si>
    <t xml:space="preserve">kg/year</t>
  </si>
  <si>
    <t xml:space="preserve">  of which leafy greens</t>
  </si>
  <si>
    <t xml:space="preserve">  of which tomato</t>
  </si>
  <si>
    <t xml:space="preserve">  of which okra</t>
  </si>
  <si>
    <t xml:space="preserve">People fed year-round (vegetables)</t>
  </si>
  <si>
    <t xml:space="preserve">people</t>
  </si>
  <si>
    <t xml:space="preserve">@ 0.4 kg/person/day FAO recommendation</t>
  </si>
  <si>
    <t xml:space="preserve">Efficiency wins (drip + mulch + compost)</t>
  </si>
  <si>
    <t xml:space="preserve">Note</t>
  </si>
  <si>
    <t xml:space="preserve">Drip vs hand-watering savings</t>
  </si>
  <si>
    <t xml:space="preserve">Mulch + compost savings</t>
  </si>
  <si>
    <t xml:space="preserve">Combined (drip + mulch + compost) vs hand</t>
  </si>
  <si>
    <t xml:space="preserve">Chipanga Water + Food Model — Inputs</t>
  </si>
  <si>
    <t xml:space="preserve">Edit blue values to run scenarios. Yellow = key assumptions to verify with field data.</t>
  </si>
  <si>
    <t xml:space="preserve">Project basics</t>
  </si>
  <si>
    <t xml:space="preserve">Item</t>
  </si>
  <si>
    <t xml:space="preserve">Notes</t>
  </si>
  <si>
    <t xml:space="preserve">Village</t>
  </si>
  <si>
    <t xml:space="preserve">Chipanga</t>
  </si>
  <si>
    <t xml:space="preserve">Region</t>
  </si>
  <si>
    <t xml:space="preserve">Dodoma Region, Bahi District (~6°S, ~1100 m elev.)</t>
  </si>
  <si>
    <t xml:space="preserve">Climate zone</t>
  </si>
  <si>
    <t xml:space="preserve">Hot semi-arid (Köppen BSh) — long dry season May–Oct</t>
  </si>
  <si>
    <t xml:space="preserve">Well &amp; pump</t>
  </si>
  <si>
    <t xml:space="preserve">Well diameter</t>
  </si>
  <si>
    <t xml:space="preserve">ft</t>
  </si>
  <si>
    <t xml:space="preserve">Well depth</t>
  </si>
  <si>
    <t xml:space="preserve">m</t>
  </si>
  <si>
    <t xml:space="preserve">Pump max sustainable output</t>
  </si>
  <si>
    <t xml:space="preserve">Sustainable yield safety factor</t>
  </si>
  <si>
    <t xml:space="preserve">fraction</t>
  </si>
  <si>
    <t xml:space="preserve">Solar</t>
  </si>
  <si>
    <t xml:space="preserve">Number of solar panels</t>
  </si>
  <si>
    <t xml:space="preserve">panels</t>
  </si>
  <si>
    <t xml:space="preserve">Useful sun hours (peak month)</t>
  </si>
  <si>
    <t xml:space="preserve">hr/day</t>
  </si>
  <si>
    <t xml:space="preserve">Tanks</t>
  </si>
  <si>
    <t xml:space="preserve">School tank</t>
  </si>
  <si>
    <t xml:space="preserve">Garden tank A (women's)</t>
  </si>
  <si>
    <t xml:space="preserve">Garden tank B (school garden)</t>
  </si>
  <si>
    <t xml:space="preserve">Plot areas</t>
  </si>
  <si>
    <t xml:space="preserve">Women's garden total area</t>
  </si>
  <si>
    <t xml:space="preserve">acres</t>
  </si>
  <si>
    <t xml:space="preserve">55m × 55m, Charlie 2026-05-10. Subdivided into 10 plots in field.</t>
  </si>
  <si>
    <t xml:space="preserve">Number of women's plots</t>
  </si>
  <si>
    <t xml:space="preserve">plots</t>
  </si>
  <si>
    <t xml:space="preserve">School garden area</t>
  </si>
  <si>
    <t xml:space="preserve">55m × 55m, Charlie 2026-05-10.</t>
  </si>
  <si>
    <t xml:space="preserve">Acres → m² conversion</t>
  </si>
  <si>
    <t xml:space="preserve">m²/acre</t>
  </si>
  <si>
    <t xml:space="preserve">Reference ET₀ by month (mm/day)</t>
  </si>
  <si>
    <t xml:space="preserve">Month</t>
  </si>
  <si>
    <t xml:space="preserve">ET₀ mm/day</t>
  </si>
  <si>
    <t xml:space="preserve">Solar factor</t>
  </si>
  <si>
    <t xml:space="preserve">Jan</t>
  </si>
  <si>
    <t xml:space="preserve">ET₀ from FAO-56 climate zone proxy; refine with CLIMWAT/local data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</si>
  <si>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</si>
  <si>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</si>
  <si>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</si>
  <si>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</si>
  <si>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</si>
  <si>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</si>
  <si>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</si>
  <si>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</si>
  <si>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</si>
  <si>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</si>
  <si>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</si>
  <si>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Crop parameters (mid-season Kc, cycle, yield)</t>
  </si>
  <si>
    <t xml:space="preserve">Crop</t>
  </si>
  <si>
    <t xml:space="preserve">Kc (mid)</t>
  </si>
  <si>
    <t xml:space="preserve">Cycle days</t>
  </si>
  <si>
    <t xml:space="preserve">Yield kg/m²/cycle</t>
  </si>
  <si>
    <t xml:space="preserve">Leafy greens (sukuma/amaranth)</t>
  </si>
  <si>
    <t xml:space="preserve">Tomato</t>
  </si>
  <si>
    <t xml:space="preserve">Okra</t>
  </si>
  <si>
    <t xml:space="preserve">Crop cycles per year</t>
  </si>
  <si>
    <t xml:space="preserve">Cycles/yr</t>
  </si>
  <si>
    <t xml:space="preserve">Leafy greens</t>
  </si>
  <si>
    <t xml:space="preserve">Crop allocation by garden (must sum to 100%)</t>
  </si>
  <si>
    <t xml:space="preserve">Women's %</t>
  </si>
  <si>
    <t xml:space="preserve">School %</t>
  </si>
  <si>
    <t xml:space="preserve">Sum check (should = 100%)</t>
  </si>
  <si>
    <t xml:space="preserve">Irrigation efficiencies &amp; savings</t>
  </si>
  <si>
    <t xml:space="preserve">Hand-watering efficiency</t>
  </si>
  <si>
    <t xml:space="preserve">Drip efficiency</t>
  </si>
  <si>
    <t xml:space="preserve">Mulch water savings</t>
  </si>
  <si>
    <t xml:space="preserve">Compost retention bonus</t>
  </si>
  <si>
    <t xml:space="preserve">Monthly water supply potential</t>
  </si>
  <si>
    <t xml:space="preserve">Pump-rated × safety factor × useful sun hours × solar factor → daily/monthly L</t>
  </si>
  <si>
    <t xml:space="preserve">Days</t>
  </si>
  <si>
    <t xml:space="preserve">ET₀ mm/d</t>
  </si>
  <si>
    <t xml:space="preserve">Useful sun (hr/day)</t>
  </si>
  <si>
    <t xml:space="preserve">Daily supply (L)</t>
  </si>
  <si>
    <t xml:space="preserve">Monthly supply (L)</t>
  </si>
  <si>
    <t xml:space="preserve">Annual total</t>
  </si>
  <si>
    <t xml:space="preserve">Crop water demand by month (net, mm/day → L/m²/day)</t>
  </si>
  <si>
    <t xml:space="preserve">ETc = Kc × ET₀.  Net demand assumes irrigation supplies the full ETc with no rainfall (dry season focus).</t>
  </si>
  <si>
    <t xml:space="preserve">Leafy ETc mm/d</t>
  </si>
  <si>
    <t xml:space="preserve">Tomato ETc mm/d</t>
  </si>
  <si>
    <t xml:space="preserve">Okra ETc mm/d</t>
  </si>
  <si>
    <t xml:space="preserve">Leafy L/m²/d</t>
  </si>
  <si>
    <t xml:space="preserve">Tomato L/m²/d</t>
  </si>
  <si>
    <t xml:space="preserve">Okra L/m²/d</t>
  </si>
  <si>
    <t xml:space="preserve">Annual avg</t>
  </si>
  <si>
    <t xml:space="preserve">Irrigation method comparison &amp; savings</t>
  </si>
  <si>
    <t xml:space="preserve">Net crop demand (ETc) ÷ method efficiency = gross water to apply. Mulch &amp; compost reduce required gross.</t>
  </si>
  <si>
    <t xml:space="preserve">A. Combined savings factor</t>
  </si>
  <si>
    <t xml:space="preserve">Scenario</t>
  </si>
  <si>
    <t xml:space="preserve">Mulch?</t>
  </si>
  <si>
    <t xml:space="preserve">Compost?</t>
  </si>
  <si>
    <t xml:space="preserve">Net demand multiplier</t>
  </si>
  <si>
    <t xml:space="preserve">Baseline (no mulch, no compost)</t>
  </si>
  <si>
    <t xml:space="preserve">No</t>
  </si>
  <si>
    <t xml:space="preserve">Mulch only</t>
  </si>
  <si>
    <t xml:space="preserve">Yes</t>
  </si>
  <si>
    <t xml:space="preserve">Compost only</t>
  </si>
  <si>
    <t xml:space="preserve">Mulch + compost (recommended)</t>
  </si>
  <si>
    <t xml:space="preserve">B. Gross water (L/m²/day, peak month Oct, all crops weighted)</t>
  </si>
  <si>
    <t xml:space="preserve">Reference: peak ET₀ in Oct → uses average crop Kc weighted across leafy/tom/okra (assume equal 1/3 split for this comparison)</t>
  </si>
  <si>
    <t xml:space="preserve">Method</t>
  </si>
  <si>
    <t xml:space="preserve">Net L/m²/d (peak)</t>
  </si>
  <si>
    <t xml:space="preserve">Hand (eff)</t>
  </si>
  <si>
    <t xml:space="preserve">Drip (eff)</t>
  </si>
  <si>
    <t xml:space="preserve">Hand gross L/m²/d</t>
  </si>
  <si>
    <t xml:space="preserve">Drip gross L/m²/d</t>
  </si>
  <si>
    <t xml:space="preserve">Baseline</t>
  </si>
  <si>
    <t xml:space="preserve">With mulch + compost</t>
  </si>
  <si>
    <t xml:space="preserve">Drip vs hand water savings (peak)</t>
  </si>
  <si>
    <t xml:space="preserve">Mulch+compost vs baseline savings</t>
  </si>
  <si>
    <t xml:space="preserve">Combined drip + mulch + compost vs hand baseline</t>
  </si>
  <si>
    <t xml:space="preserve">Tank sizing &amp; buffer analysis</t>
  </si>
  <si>
    <t xml:space="preserve">Compares total tank storage to peak-month daily garden demand → buffer days if pump down.</t>
  </si>
  <si>
    <t xml:space="preserve">Women's garden area</t>
  </si>
  <si>
    <t xml:space="preserve">Total garden area</t>
  </si>
  <si>
    <t xml:space="preserve">Peak-month net demand (Oct, weighted Kc)</t>
  </si>
  <si>
    <t xml:space="preserve">L/m²/day</t>
  </si>
  <si>
    <t xml:space="preserve">Peak gross demand (drip + mulch + compost)</t>
  </si>
  <si>
    <t xml:space="preserve">Peak total daily garden demand</t>
  </si>
  <si>
    <t xml:space="preserve">Garden tank storage (A + B)</t>
  </si>
  <si>
    <t xml:space="preserve">School tank storage</t>
  </si>
  <si>
    <t xml:space="preserve">Buffer (garden tanks ÷ peak demand)</t>
  </si>
  <si>
    <t xml:space="preserve">Daily supply (peak month Oct)</t>
  </si>
  <si>
    <t xml:space="preserve">Supply ÷ demand ratio (peak)</t>
  </si>
  <si>
    <t xml:space="preserve">ratio</t>
  </si>
  <si>
    <t xml:space="preserve">≥1.0 = pump can keep up; &lt;1.0 = drawing down storage</t>
  </si>
  <si>
    <t xml:space="preserve">Monthly supply vs demand</t>
  </si>
  <si>
    <t xml:space="preserve">Supply L/day</t>
  </si>
  <si>
    <t xml:space="preserve">Demand L/day</t>
  </si>
  <si>
    <t xml:space="preserve">Surplus L/day</t>
  </si>
  <si>
    <t xml:space="preserve">Surplus %</t>
  </si>
  <si>
    <t xml:space="preserve">Annual food production estimate</t>
  </si>
  <si>
    <t xml:space="preserve">Yield = area × allocation% × yield/m²/cycle × cycles/year. Assumes adequate water (verify on Tank_Sizing).</t>
  </si>
  <si>
    <t xml:space="preserve">Women's m²</t>
  </si>
  <si>
    <t xml:space="preserve">School m²</t>
  </si>
  <si>
    <t xml:space="preserve">Women's kg/yr</t>
  </si>
  <si>
    <t xml:space="preserve">School kg/yr</t>
  </si>
  <si>
    <t xml:space="preserve">Total kg/yr</t>
  </si>
  <si>
    <t xml:space="preserve">Total kg/year</t>
  </si>
  <si>
    <t xml:space="preserve">Servings &amp; people-fed estimates</t>
  </si>
  <si>
    <t xml:space="preserve">Vegetable serving (FAO recommendation)</t>
  </si>
  <si>
    <t xml:space="preserve">kg/person/day</t>
  </si>
  <si>
    <t xml:space="preserve">Person-days of vegetables / year</t>
  </si>
  <si>
    <t xml:space="preserve">People fed year-round (365 days)</t>
  </si>
  <si>
    <t xml:space="preserve">Sources &amp; assumptions</t>
  </si>
  <si>
    <t xml:space="preserve">Refine these as field data arrives. Anything in yellow on Inputs is high-leverage.</t>
  </si>
  <si>
    <t xml:space="preserve">Reference ET₀</t>
  </si>
  <si>
    <t xml:space="preserve">FAO Irrigation &amp; Drainage Paper 56 — climate zone proxy. Refine with CLIMWAT 2.0 / NASA POWER once village coordinates available.</t>
  </si>
  <si>
    <t xml:space="preserve">Crop coefficients (Kc)</t>
  </si>
  <si>
    <t xml:space="preserve">FAO-56 Table 12 — leafy greens (lettuce/cabbage proxy), tomato, okra mid-season values.</t>
  </si>
  <si>
    <t xml:space="preserve">Drip irrigation efficiency</t>
  </si>
  <si>
    <t xml:space="preserve">FAO range 85–95% for well-managed drip. Defaulted to 90%.</t>
  </si>
  <si>
    <t xml:space="preserve">FAO smallholder range 40–60% (bucket/can application). Defaulted to 55%.</t>
  </si>
  <si>
    <t xml:space="preserve">Multiple ICRISAT / FAO field studies, 20–40% reduction in soil evaporation. Defaulted to 25%.</t>
  </si>
  <si>
    <t xml:space="preserve">Soil organic matter studies show 10–20% improvement in available water capacity. Defaulted to 15%.</t>
  </si>
  <si>
    <t xml:space="preserve">Crop yields (smallholder)</t>
  </si>
  <si>
    <t xml:space="preserve">Tanzania MoA + ICRISAT smallholder dryland-irrigated benchmarks. Adjustable per Inputs.</t>
  </si>
  <si>
    <t xml:space="preserve">Pump output</t>
  </si>
  <si>
    <t xml:space="preserve">Per Charlie (Peace Corps): 5,000 L/hr max sustainable from 180 m well.</t>
  </si>
  <si>
    <t xml:space="preserve">Solar useful sun hours</t>
  </si>
  <si>
    <t xml:space="preserve">Equator-region peak ~7 hr/day useful (NASA POWER). Refine for Tanzania with local irradiance data.</t>
  </si>
  <si>
    <t xml:space="preserve">Vegetable serving size</t>
  </si>
  <si>
    <t xml:space="preserve">FAO/WHO recommendation 400 g/person/day fruit + vegetables.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</si>
</sst>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#,##0.00;\(#,##0.00\);\-"/>
    <numFmt numFmtId="167" formatCode="#,##0.0;\(#,##0.0\);\-"/>
    <numFmt numFmtId="168" formatCode="0.0%;\(0.0%\);\-"/>
    <numFmt numFmtId="169" formatCode="0.00"/>
    <numFmt numFmtId="170" formatCode="0"/>
    <numFmt numFmtId="171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D9E1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  <c r="B5" s="4"/>
      <c r="C5" s="4"/>
      <c r="D5" s="4"/>
    </row>
    <row r="6" customFormat="false" ht="15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</row>
    <row r="7" customFormat="false" ht="15" hidden="false" customHeight="true" outlineLevel="0" collapsed="false">
      <c r="A7" s="6" t="s">
        <v>8</v>
      </c>
      <c r="B7" s="7" t="n">
        <f aca="false">Inputs!B14</f>
        <v>5000</v>
      </c>
      <c r="C7" s="8" t="s">
        <v>9</v>
      </c>
    </row>
    <row r="8" customFormat="false" ht="15" hidden="false" customHeight="true" outlineLevel="0" collapsed="false">
      <c r="A8" s="6" t="s">
        <v>10</v>
      </c>
      <c r="B8" s="7" t="n">
        <f aca="false">Well_Solar!F17</f>
        <v>27320.4166666667</v>
      </c>
      <c r="C8" s="8" t="s">
        <v>11</v>
      </c>
    </row>
    <row r="9" customFormat="false" ht="15" hidden="false" customHeight="true" outlineLevel="0" collapsed="false">
      <c r="A9" s="6" t="s">
        <v>12</v>
      </c>
      <c r="B9" s="7" t="n">
        <f aca="false">Well_Solar!G17</f>
        <v>9977555</v>
      </c>
      <c r="C9" s="8" t="s">
        <v>13</v>
      </c>
    </row>
    <row r="10" customFormat="false" ht="15" hidden="false" customHeight="true" outlineLevel="0" collapsed="false">
      <c r="A10" s="6" t="s">
        <v>14</v>
      </c>
      <c r="B10" s="7" t="n">
        <f aca="false">Tank_Sizing!B15</f>
        <v>24000</v>
      </c>
      <c r="C10" s="8" t="s">
        <v>15</v>
      </c>
    </row>
    <row r="11" customFormat="false" ht="15" hidden="false" customHeight="true" outlineLevel="0" collapsed="false">
      <c r="A11" s="9" t="s">
        <v>16</v>
      </c>
      <c r="B11" s="10" t="n">
        <f aca="false">Tank_Sizing!B17</f>
        <v>0.703335378601355</v>
      </c>
      <c r="C11" s="11" t="s">
        <v>17</v>
      </c>
      <c r="D11" s="12"/>
    </row>
    <row r="13" customFormat="false" ht="15" hidden="false" customHeight="true" outlineLevel="0" collapsed="false">
      <c r="A13" s="4" t="s">
        <v>18</v>
      </c>
      <c r="B13" s="4"/>
      <c r="C13" s="4"/>
      <c r="D13" s="4"/>
    </row>
    <row r="14" customFormat="false" ht="15" hidden="false" customHeight="true" outlineLevel="0" collapsed="false">
      <c r="A14" s="5" t="s">
        <v>4</v>
      </c>
      <c r="B14" s="5" t="s">
        <v>5</v>
      </c>
      <c r="C14" s="5" t="s">
        <v>6</v>
      </c>
      <c r="D14" s="5" t="s">
        <v>7</v>
      </c>
    </row>
    <row r="15" customFormat="false" ht="15" hidden="false" customHeight="true" outlineLevel="0" collapsed="false">
      <c r="A15" s="6" t="s">
        <v>19</v>
      </c>
      <c r="B15" s="7" t="n">
        <f aca="false">Tank_Sizing!B5</f>
        <v>3035.145</v>
      </c>
      <c r="C15" s="8" t="s">
        <v>20</v>
      </c>
      <c r="D15" s="3" t="s">
        <v>21</v>
      </c>
    </row>
    <row r="16" customFormat="false" ht="15" hidden="false" customHeight="true" outlineLevel="0" collapsed="false">
      <c r="A16" s="6" t="s">
        <v>22</v>
      </c>
      <c r="B16" s="7" t="n">
        <f aca="false">Tank_Sizing!B6</f>
        <v>3035.145</v>
      </c>
      <c r="C16" s="8" t="s">
        <v>20</v>
      </c>
    </row>
    <row r="17" customFormat="false" ht="15" hidden="false" customHeight="true" outlineLevel="0" collapsed="false">
      <c r="A17" s="13" t="s">
        <v>23</v>
      </c>
      <c r="B17" s="14" t="n">
        <f aca="false">Tank_Sizing!B7</f>
        <v>6070.29</v>
      </c>
      <c r="C17" s="11" t="s">
        <v>20</v>
      </c>
      <c r="D17" s="12"/>
    </row>
    <row r="19" customFormat="false" ht="15" hidden="false" customHeight="true" outlineLevel="0" collapsed="false">
      <c r="A19" s="4" t="s">
        <v>24</v>
      </c>
      <c r="B19" s="4"/>
      <c r="C19" s="4"/>
      <c r="D19" s="4"/>
    </row>
    <row r="20" customFormat="false" ht="15" hidden="false" customHeight="true" outlineLevel="0" collapsed="false">
      <c r="A20" s="5" t="s">
        <v>4</v>
      </c>
      <c r="B20" s="5" t="s">
        <v>5</v>
      </c>
      <c r="C20" s="5" t="s">
        <v>6</v>
      </c>
      <c r="D20" s="5" t="s">
        <v>7</v>
      </c>
    </row>
    <row r="21" customFormat="false" ht="15" hidden="false" customHeight="true" outlineLevel="0" collapsed="false">
      <c r="A21" s="6" t="s">
        <v>25</v>
      </c>
      <c r="B21" s="7" t="n">
        <f aca="false">Food_Yield!H8</f>
        <v>59640.59925</v>
      </c>
      <c r="C21" s="8" t="s">
        <v>26</v>
      </c>
    </row>
    <row r="22" customFormat="false" ht="15" hidden="false" customHeight="true" outlineLevel="0" collapsed="false">
      <c r="A22" s="6" t="s">
        <v>27</v>
      </c>
      <c r="B22" s="7" t="n">
        <f aca="false">Food_Yield!H5</f>
        <v>45527.175</v>
      </c>
      <c r="C22" s="8" t="s">
        <v>26</v>
      </c>
    </row>
    <row r="23" customFormat="false" ht="15" hidden="false" customHeight="true" outlineLevel="0" collapsed="false">
      <c r="A23" s="6" t="s">
        <v>28</v>
      </c>
      <c r="B23" s="7" t="n">
        <f aca="false">Food_Yield!H6</f>
        <v>10926.522</v>
      </c>
      <c r="C23" s="8" t="s">
        <v>26</v>
      </c>
    </row>
    <row r="24" customFormat="false" ht="15" hidden="false" customHeight="true" outlineLevel="0" collapsed="false">
      <c r="A24" s="6" t="s">
        <v>29</v>
      </c>
      <c r="B24" s="7" t="n">
        <f aca="false">Food_Yield!H7</f>
        <v>3186.90225</v>
      </c>
      <c r="C24" s="8" t="s">
        <v>26</v>
      </c>
    </row>
    <row r="25" customFormat="false" ht="15" hidden="false" customHeight="true" outlineLevel="0" collapsed="false">
      <c r="A25" s="13" t="s">
        <v>30</v>
      </c>
      <c r="B25" s="15" t="n">
        <f aca="false">Food_Yield!B13</f>
        <v>408.497255136986</v>
      </c>
      <c r="C25" s="11" t="s">
        <v>31</v>
      </c>
      <c r="D25" s="16" t="s">
        <v>32</v>
      </c>
    </row>
    <row r="27" customFormat="false" ht="15" hidden="false" customHeight="true" outlineLevel="0" collapsed="false">
      <c r="A27" s="4" t="s">
        <v>33</v>
      </c>
      <c r="B27" s="4"/>
      <c r="C27" s="4"/>
      <c r="D27" s="4"/>
    </row>
    <row r="28" customFormat="false" ht="15" hidden="false" customHeight="true" outlineLevel="0" collapsed="false">
      <c r="A28" s="5" t="s">
        <v>4</v>
      </c>
      <c r="B28" s="5" t="s">
        <v>5</v>
      </c>
      <c r="C28" s="5" t="s">
        <v>6</v>
      </c>
      <c r="D28" s="5" t="s">
        <v>34</v>
      </c>
    </row>
    <row r="29" customFormat="false" ht="15" hidden="false" customHeight="true" outlineLevel="0" collapsed="false">
      <c r="A29" s="6" t="s">
        <v>35</v>
      </c>
      <c r="B29" s="17" t="n">
        <f aca="false">Irrigation!B17</f>
        <v>0.388888888888889</v>
      </c>
    </row>
    <row r="30" customFormat="false" ht="15" hidden="false" customHeight="true" outlineLevel="0" collapsed="false">
      <c r="A30" s="6" t="s">
        <v>36</v>
      </c>
      <c r="B30" s="17" t="n">
        <f aca="false">Irrigation!B18</f>
        <v>0.3625</v>
      </c>
    </row>
    <row r="31" customFormat="false" ht="15" hidden="false" customHeight="true" outlineLevel="0" collapsed="false">
      <c r="A31" s="13" t="s">
        <v>37</v>
      </c>
      <c r="B31" s="18" t="n">
        <f aca="false">Irrigation!B19</f>
        <v>0.610416666666667</v>
      </c>
      <c r="C31" s="12"/>
      <c r="D31" s="12"/>
    </row>
  </sheetData>
  <mergeCells count="4">
    <mergeCell ref="A5:D5"/>
    <mergeCell ref="A13:D13"/>
    <mergeCell ref="A19:D19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17.25" hidden="false" customHeight="true" outlineLevel="0" collapsed="false">
      <c r="A1" s="19" t="s">
        <v>38</v>
      </c>
    </row>
    <row r="2" customFormat="false" ht="15" hidden="false" customHeight="true" outlineLevel="0" collapsed="false">
      <c r="A2" s="3" t="s">
        <v>39</v>
      </c>
    </row>
    <row r="4" customFormat="false" ht="15" hidden="false" customHeight="true" outlineLevel="0" collapsed="false">
      <c r="A4" s="4" t="s">
        <v>40</v>
      </c>
      <c r="B4" s="4"/>
      <c r="C4" s="4"/>
      <c r="D4" s="4"/>
    </row>
    <row r="5" customFormat="false" ht="15" hidden="false" customHeight="true" outlineLevel="0" collapsed="false">
      <c r="A5" s="5" t="s">
        <v>41</v>
      </c>
      <c r="B5" s="5" t="s">
        <v>5</v>
      </c>
      <c r="C5" s="5" t="s">
        <v>6</v>
      </c>
      <c r="D5" s="5" t="s">
        <v>42</v>
      </c>
    </row>
    <row r="6" customFormat="false" ht="15" hidden="false" customHeight="true" outlineLevel="0" collapsed="false">
      <c r="A6" s="6" t="s">
        <v>43</v>
      </c>
      <c r="B6" s="20" t="s">
        <v>44</v>
      </c>
    </row>
    <row r="7" customFormat="false" ht="15" hidden="false" customHeight="true" outlineLevel="0" collapsed="false">
      <c r="A7" s="6" t="s">
        <v>45</v>
      </c>
      <c r="B7" s="20" t="s">
        <v>46</v>
      </c>
    </row>
    <row r="8" customFormat="false" ht="15" hidden="false" customHeight="true" outlineLevel="0" collapsed="false">
      <c r="A8" s="6" t="s">
        <v>47</v>
      </c>
      <c r="B8" s="20" t="s">
        <v>48</v>
      </c>
    </row>
    <row r="10" customFormat="false" ht="15" hidden="false" customHeight="true" outlineLevel="0" collapsed="false">
      <c r="A10" s="4" t="s">
        <v>49</v>
      </c>
      <c r="B10" s="4"/>
      <c r="C10" s="4"/>
      <c r="D10" s="4"/>
    </row>
    <row r="11" customFormat="false" ht="15" hidden="false" customHeight="true" outlineLevel="0" collapsed="false">
      <c r="A11" s="5" t="s">
        <v>41</v>
      </c>
      <c r="B11" s="5" t="s">
        <v>5</v>
      </c>
      <c r="C11" s="5" t="s">
        <v>6</v>
      </c>
      <c r="D11" s="5" t="s">
        <v>42</v>
      </c>
    </row>
    <row r="12" customFormat="false" ht="15" hidden="false" customHeight="true" outlineLevel="0" collapsed="false">
      <c r="A12" s="6" t="s">
        <v>50</v>
      </c>
      <c r="B12" s="21" t="n">
        <v>6</v>
      </c>
      <c r="C12" s="3" t="s">
        <v>51</v>
      </c>
    </row>
    <row r="13" customFormat="false" ht="15" hidden="false" customHeight="true" outlineLevel="0" collapsed="false">
      <c r="A13" s="6" t="s">
        <v>52</v>
      </c>
      <c r="B13" s="21" t="n">
        <v>180</v>
      </c>
      <c r="C13" s="3" t="s">
        <v>53</v>
      </c>
    </row>
    <row r="14" customFormat="false" ht="15" hidden="false" customHeight="true" outlineLevel="0" collapsed="false">
      <c r="A14" s="6" t="s">
        <v>54</v>
      </c>
      <c r="B14" s="22" t="n">
        <v>5000</v>
      </c>
      <c r="C14" s="3" t="s">
        <v>9</v>
      </c>
    </row>
    <row r="15" customFormat="false" ht="15" hidden="false" customHeight="true" outlineLevel="0" collapsed="false">
      <c r="A15" s="6" t="s">
        <v>55</v>
      </c>
      <c r="B15" s="23" t="n">
        <v>0.85</v>
      </c>
      <c r="C15" s="3" t="s">
        <v>56</v>
      </c>
    </row>
    <row r="17" customFormat="false" ht="15" hidden="false" customHeight="true" outlineLevel="0" collapsed="false">
      <c r="A17" s="4" t="s">
        <v>57</v>
      </c>
      <c r="B17" s="4"/>
      <c r="C17" s="4"/>
      <c r="D17" s="4"/>
    </row>
    <row r="18" customFormat="false" ht="15" hidden="false" customHeight="true" outlineLevel="0" collapsed="false">
      <c r="A18" s="5" t="s">
        <v>41</v>
      </c>
      <c r="B18" s="5" t="s">
        <v>5</v>
      </c>
      <c r="C18" s="5" t="s">
        <v>6</v>
      </c>
      <c r="D18" s="5" t="s">
        <v>42</v>
      </c>
    </row>
    <row r="19" customFormat="false" ht="15" hidden="false" customHeight="true" outlineLevel="0" collapsed="false">
      <c r="A19" s="6" t="s">
        <v>58</v>
      </c>
      <c r="B19" s="21" t="n">
        <v>12</v>
      </c>
      <c r="C19" s="3" t="s">
        <v>59</v>
      </c>
    </row>
    <row r="20" customFormat="false" ht="15" hidden="false" customHeight="true" outlineLevel="0" collapsed="false">
      <c r="A20" s="6" t="s">
        <v>60</v>
      </c>
      <c r="B20" s="22" t="n">
        <v>7</v>
      </c>
      <c r="C20" s="3" t="s">
        <v>61</v>
      </c>
    </row>
    <row r="22" customFormat="false" ht="15" hidden="false" customHeight="true" outlineLevel="0" collapsed="false">
      <c r="A22" s="4" t="s">
        <v>62</v>
      </c>
      <c r="B22" s="4"/>
      <c r="C22" s="4"/>
      <c r="D22" s="4"/>
    </row>
    <row r="23" customFormat="false" ht="15" hidden="false" customHeight="true" outlineLevel="0" collapsed="false">
      <c r="A23" s="5" t="s">
        <v>41</v>
      </c>
      <c r="B23" s="5" t="s">
        <v>5</v>
      </c>
      <c r="C23" s="5" t="s">
        <v>6</v>
      </c>
      <c r="D23" s="5" t="s">
        <v>42</v>
      </c>
    </row>
    <row r="24" customFormat="false" ht="15" hidden="false" customHeight="true" outlineLevel="0" collapsed="false">
      <c r="A24" s="6" t="s">
        <v>63</v>
      </c>
      <c r="B24" s="21" t="n">
        <v>4000</v>
      </c>
      <c r="C24" s="3" t="s">
        <v>15</v>
      </c>
    </row>
    <row r="25" customFormat="false" ht="15" hidden="false" customHeight="true" outlineLevel="0" collapsed="false">
      <c r="A25" s="6" t="s">
        <v>64</v>
      </c>
      <c r="B25" s="21" t="n">
        <v>10000</v>
      </c>
      <c r="C25" s="3" t="s">
        <v>15</v>
      </c>
    </row>
    <row r="26" customFormat="false" ht="15" hidden="false" customHeight="true" outlineLevel="0" collapsed="false">
      <c r="A26" s="6" t="s">
        <v>65</v>
      </c>
      <c r="B26" s="21" t="n">
        <v>10000</v>
      </c>
      <c r="C26" s="3" t="s">
        <v>15</v>
      </c>
    </row>
    <row r="28" customFormat="false" ht="15" hidden="false" customHeight="true" outlineLevel="0" collapsed="false">
      <c r="A28" s="4" t="s">
        <v>66</v>
      </c>
      <c r="B28" s="4"/>
      <c r="C28" s="4"/>
      <c r="D28" s="4"/>
    </row>
    <row r="29" customFormat="false" ht="15" hidden="false" customHeight="true" outlineLevel="0" collapsed="false">
      <c r="A29" s="5" t="s">
        <v>41</v>
      </c>
      <c r="B29" s="5" t="s">
        <v>5</v>
      </c>
      <c r="C29" s="5" t="s">
        <v>6</v>
      </c>
      <c r="D29" s="5" t="s">
        <v>42</v>
      </c>
    </row>
    <row r="30" customFormat="false" ht="15" hidden="false" customHeight="true" outlineLevel="0" collapsed="false">
      <c r="A30" s="6" t="s">
        <v>67</v>
      </c>
      <c r="B30" s="21" t="n">
        <v>0.75</v>
      </c>
      <c r="C30" s="3" t="s">
        <v>68</v>
      </c>
      <c r="D30" s="1" t="s">
        <v>69</v>
      </c>
    </row>
    <row r="31" customFormat="false" ht="15" hidden="false" customHeight="true" outlineLevel="0" collapsed="false">
      <c r="A31" s="6" t="s">
        <v>70</v>
      </c>
      <c r="B31" s="21" t="n">
        <v>10</v>
      </c>
      <c r="C31" s="3" t="s">
        <v>71</v>
      </c>
    </row>
    <row r="32" customFormat="false" ht="15" hidden="false" customHeight="true" outlineLevel="0" collapsed="false">
      <c r="A32" s="6" t="s">
        <v>72</v>
      </c>
      <c r="B32" s="23" t="n">
        <v>0.75</v>
      </c>
      <c r="C32" s="3" t="s">
        <v>68</v>
      </c>
      <c r="D32" s="1" t="s">
        <v>73</v>
      </c>
    </row>
    <row r="33" customFormat="false" ht="15" hidden="false" customHeight="true" outlineLevel="0" collapsed="false">
      <c r="A33" s="6" t="s">
        <v>74</v>
      </c>
      <c r="B33" s="21" t="n">
        <v>4046.86</v>
      </c>
      <c r="C33" s="3" t="s">
        <v>75</v>
      </c>
    </row>
    <row r="35" customFormat="false" ht="15" hidden="false" customHeight="true" outlineLevel="0" collapsed="false">
      <c r="A35" s="4" t="s">
        <v>76</v>
      </c>
      <c r="B35" s="4"/>
      <c r="C35" s="4"/>
      <c r="D35" s="4"/>
    </row>
    <row r="36" customFormat="false" ht="15" hidden="false" customHeight="true" outlineLevel="0" collapsed="false">
      <c r="A36" s="5" t="s">
        <v>77</v>
      </c>
      <c r="B36" s="5" t="s">
        <v>78</v>
      </c>
      <c r="C36" s="5" t="s">
        <v>79</v>
      </c>
      <c r="D36" s="5" t="s">
        <v>42</v>
      </c>
    </row>
    <row r="37" customFormat="false" ht="15" hidden="false" customHeight="true" outlineLevel="0" collapsed="false">
      <c r="A37" s="6" t="s">
        <v>80</v>
      </c>
      <c r="B37" s="24" t="n">
        <v>5.4</v>
      </c>
      <c r="C37" s="25" t="n">
        <v>0.8</v>
      </c>
      <c r="D37" s="3" t="s">
        <v>81</v>
      </c>
    </row>
    <row r="38" customFormat="false" ht="15" hidden="false" customHeight="true" outlineLevel="0" collapsed="false">
      <c r="A38" s="6" t="s">
        <v>82</v>
      </c>
      <c r="B38" s="24" t="n">
        <v>5.4</v>
      </c>
      <c r="C38" s="25" t="n">
        <v>0.82</v>
      </c>
    </row>
    <row r="39" customFormat="false" ht="15" hidden="false" customHeight="true" outlineLevel="0" collapsed="false">
      <c r="A39" s="6" t="s">
        <v>83</v>
      </c>
      <c r="B39" s="24" t="n">
        <v>5.2</v>
      </c>
      <c r="C39" s="25" t="n">
        <v>0.85</v>
      </c>
    </row>
    <row r="40" customFormat="false" ht="15" hidden="false" customHeight="true" outlineLevel="0" collapsed="false">
      <c r="A40" s="6" t="s">
        <v>84</v>
      </c>
      <c r="B40" s="24" t="n">
        <v>4.6</v>
      </c>
      <c r="C40" s="25" t="n">
        <v>0.88</v>
      </c>
    </row>
    <row r="41" customFormat="false" ht="15" hidden="false" customHeight="true" outlineLevel="0" collapsed="false">
      <c r="A41" s="6" t="s">
        <v>85</v>
      </c>
      <c r="B41" s="24" t="n">
        <v>4.2</v>
      </c>
      <c r="C41" s="25" t="n">
        <v>0.95</v>
      </c>
    </row>
    <row r="42" customFormat="false" ht="15" hidden="false" customHeight="true" outlineLevel="0" collapsed="false">
      <c r="A42" s="6" t="s">
        <v>86</v>
      </c>
      <c r="B42" s="24" t="n">
        <v>4</v>
      </c>
      <c r="C42" s="25" t="n">
        <v>1</v>
      </c>
    </row>
    <row r="43" customFormat="false" ht="15" hidden="false" customHeight="true" outlineLevel="0" collapsed="false">
      <c r="A43" s="6" t="s">
        <v>87</v>
      </c>
      <c r="B43" s="24" t="n">
        <v>4.2</v>
      </c>
      <c r="C43" s="25" t="n">
        <v>1</v>
      </c>
    </row>
    <row r="44" customFormat="false" ht="15" hidden="false" customHeight="true" outlineLevel="0" collapsed="false">
      <c r="A44" s="6" t="s">
        <v>88</v>
      </c>
      <c r="B44" s="24" t="n">
        <v>4.8</v>
      </c>
      <c r="C44" s="25" t="n">
        <v>1</v>
      </c>
    </row>
    <row r="45" customFormat="false" ht="15" hidden="false" customHeight="true" outlineLevel="0" collapsed="false">
      <c r="A45" s="6" t="s">
        <v>89</v>
      </c>
      <c r="B45" s="24" t="n">
        <v>5.6</v>
      </c>
      <c r="C45" s="25" t="n">
        <v>1</v>
      </c>
    </row>
    <row r="46" customFormat="false" ht="15" hidden="false" customHeight="true" outlineLevel="0" collapsed="false">
      <c r="A46" s="6" t="s">
        <v>90</v>
      </c>
      <c r="B46" s="24" t="n">
        <v>6.2</v>
      </c>
      <c r="C46" s="25" t="n">
        <v>1</v>
      </c>
    </row>
    <row r="47" customFormat="false" ht="15" hidden="false" customHeight="true" outlineLevel="0" collapsed="false">
      <c r="A47" s="6" t="s">
        <v>91</v>
      </c>
      <c r="B47" s="24" t="n">
        <v>6</v>
      </c>
      <c r="C47" s="25" t="n">
        <v>0.9</v>
      </c>
    </row>
    <row r="48" customFormat="false" ht="15" hidden="false" customHeight="true" outlineLevel="0" collapsed="false">
      <c r="A48" s="6" t="s">
        <v>92</v>
      </c>
      <c r="B48" s="24" t="n">
        <v>5.6</v>
      </c>
      <c r="C48" s="25" t="n">
        <v>0.82</v>
      </c>
    </row>
    <row r="50" customFormat="false" ht="15" hidden="false" customHeight="true" outlineLevel="0" collapsed="false">
      <c r="A50" s="4" t="s">
        <v>93</v>
      </c>
      <c r="B50" s="4"/>
      <c r="C50" s="4"/>
      <c r="D50" s="4"/>
    </row>
    <row r="51" customFormat="false" ht="15" hidden="false" customHeight="true" outlineLevel="0" collapsed="false">
      <c r="A51" s="5" t="s">
        <v>94</v>
      </c>
      <c r="B51" s="5" t="s">
        <v>95</v>
      </c>
      <c r="C51" s="5" t="s">
        <v>96</v>
      </c>
      <c r="D51" s="5" t="s">
        <v>97</v>
      </c>
    </row>
    <row r="52" customFormat="false" ht="15" hidden="false" customHeight="true" outlineLevel="0" collapsed="false">
      <c r="A52" s="6" t="s">
        <v>98</v>
      </c>
      <c r="B52" s="25" t="n">
        <v>1</v>
      </c>
      <c r="C52" s="26" t="n">
        <v>45</v>
      </c>
      <c r="D52" s="24" t="n">
        <v>2.5</v>
      </c>
    </row>
    <row r="53" customFormat="false" ht="15" hidden="false" customHeight="true" outlineLevel="0" collapsed="false">
      <c r="A53" s="6" t="s">
        <v>99</v>
      </c>
      <c r="B53" s="25" t="n">
        <v>1.15</v>
      </c>
      <c r="C53" s="26" t="n">
        <v>90</v>
      </c>
      <c r="D53" s="24" t="n">
        <v>4</v>
      </c>
    </row>
    <row r="54" customFormat="false" ht="15" hidden="false" customHeight="true" outlineLevel="0" collapsed="false">
      <c r="A54" s="6" t="s">
        <v>100</v>
      </c>
      <c r="B54" s="25" t="n">
        <v>1.05</v>
      </c>
      <c r="C54" s="26" t="n">
        <v>75</v>
      </c>
      <c r="D54" s="24" t="n">
        <v>1.5</v>
      </c>
    </row>
    <row r="56" customFormat="false" ht="15" hidden="false" customHeight="true" outlineLevel="0" collapsed="false">
      <c r="A56" s="4" t="s">
        <v>101</v>
      </c>
      <c r="B56" s="4"/>
      <c r="C56" s="4"/>
      <c r="D56" s="4"/>
    </row>
    <row r="57" customFormat="false" ht="15" hidden="false" customHeight="true" outlineLevel="0" collapsed="false">
      <c r="A57" s="5" t="s">
        <v>94</v>
      </c>
      <c r="B57" s="5" t="s">
        <v>102</v>
      </c>
      <c r="C57" s="5"/>
      <c r="D57" s="5"/>
    </row>
    <row r="58" customFormat="false" ht="15" hidden="false" customHeight="true" outlineLevel="0" collapsed="false">
      <c r="A58" s="6" t="s">
        <v>103</v>
      </c>
      <c r="B58" s="26" t="n">
        <v>5</v>
      </c>
    </row>
    <row r="59" customFormat="false" ht="15" hidden="false" customHeight="true" outlineLevel="0" collapsed="false">
      <c r="A59" s="6" t="s">
        <v>99</v>
      </c>
      <c r="B59" s="26" t="n">
        <v>2</v>
      </c>
    </row>
    <row r="60" customFormat="false" ht="15" hidden="false" customHeight="true" outlineLevel="0" collapsed="false">
      <c r="A60" s="6" t="s">
        <v>100</v>
      </c>
      <c r="B60" s="26" t="n">
        <v>2</v>
      </c>
    </row>
    <row r="62" customFormat="false" ht="15" hidden="false" customHeight="true" outlineLevel="0" collapsed="false">
      <c r="A62" s="4" t="s">
        <v>104</v>
      </c>
      <c r="B62" s="4"/>
      <c r="C62" s="4"/>
      <c r="D62" s="4"/>
    </row>
    <row r="63" customFormat="false" ht="15" hidden="false" customHeight="true" outlineLevel="0" collapsed="false">
      <c r="A63" s="5" t="s">
        <v>94</v>
      </c>
      <c r="B63" s="5" t="s">
        <v>105</v>
      </c>
      <c r="C63" s="5" t="s">
        <v>106</v>
      </c>
      <c r="D63" s="5"/>
    </row>
    <row r="64" customFormat="false" ht="15" hidden="false" customHeight="true" outlineLevel="0" collapsed="false">
      <c r="A64" s="6" t="s">
        <v>103</v>
      </c>
      <c r="B64" s="27" t="n">
        <v>0.5</v>
      </c>
      <c r="C64" s="27" t="n">
        <v>0.7</v>
      </c>
    </row>
    <row r="65" customFormat="false" ht="15" hidden="false" customHeight="true" outlineLevel="0" collapsed="false">
      <c r="A65" s="6" t="s">
        <v>99</v>
      </c>
      <c r="B65" s="27" t="n">
        <v>0.25</v>
      </c>
      <c r="C65" s="27" t="n">
        <v>0.2</v>
      </c>
    </row>
    <row r="66" customFormat="false" ht="15" hidden="false" customHeight="true" outlineLevel="0" collapsed="false">
      <c r="A66" s="6" t="s">
        <v>100</v>
      </c>
      <c r="B66" s="27" t="n">
        <v>0.25</v>
      </c>
      <c r="C66" s="27" t="n">
        <v>0.1</v>
      </c>
    </row>
    <row r="67" customFormat="false" ht="15" hidden="false" customHeight="true" outlineLevel="0" collapsed="false">
      <c r="A67" s="8" t="s">
        <v>107</v>
      </c>
      <c r="B67" s="28" t="n">
        <f aca="false">SUM(B64:B66)</f>
        <v>1</v>
      </c>
      <c r="C67" s="28" t="n">
        <f aca="false">SUM(C64:C66)</f>
        <v>1</v>
      </c>
    </row>
    <row r="69" customFormat="false" ht="15" hidden="false" customHeight="true" outlineLevel="0" collapsed="false">
      <c r="A69" s="4" t="s">
        <v>108</v>
      </c>
      <c r="B69" s="4"/>
      <c r="C69" s="4"/>
      <c r="D69" s="4"/>
    </row>
    <row r="70" customFormat="false" ht="15" hidden="false" customHeight="true" outlineLevel="0" collapsed="false">
      <c r="A70" s="5" t="s">
        <v>41</v>
      </c>
      <c r="B70" s="5" t="s">
        <v>5</v>
      </c>
      <c r="C70" s="5" t="s">
        <v>6</v>
      </c>
      <c r="D70" s="5" t="s">
        <v>42</v>
      </c>
    </row>
    <row r="71" customFormat="false" ht="15" hidden="false" customHeight="true" outlineLevel="0" collapsed="false">
      <c r="A71" s="6" t="s">
        <v>109</v>
      </c>
      <c r="B71" s="23" t="n">
        <v>0.55</v>
      </c>
      <c r="C71" s="3" t="s">
        <v>56</v>
      </c>
    </row>
    <row r="72" customFormat="false" ht="15" hidden="false" customHeight="true" outlineLevel="0" collapsed="false">
      <c r="A72" s="6" t="s">
        <v>110</v>
      </c>
      <c r="B72" s="29" t="n">
        <v>0.9</v>
      </c>
      <c r="C72" s="3" t="s">
        <v>56</v>
      </c>
    </row>
    <row r="73" customFormat="false" ht="15" hidden="false" customHeight="true" outlineLevel="0" collapsed="false">
      <c r="A73" s="6" t="s">
        <v>111</v>
      </c>
      <c r="B73" s="23" t="n">
        <v>0.25</v>
      </c>
      <c r="C73" s="3" t="s">
        <v>56</v>
      </c>
    </row>
    <row r="74" customFormat="false" ht="15" hidden="false" customHeight="true" outlineLevel="0" collapsed="false">
      <c r="A74" s="6" t="s">
        <v>112</v>
      </c>
      <c r="B74" s="23" t="n">
        <v>0.15</v>
      </c>
      <c r="C74" s="3" t="s">
        <v>56</v>
      </c>
    </row>
  </sheetData>
  <mergeCells count="10">
    <mergeCell ref="A4:D4"/>
    <mergeCell ref="A10:D10"/>
    <mergeCell ref="A17:D17"/>
    <mergeCell ref="A22:D22"/>
    <mergeCell ref="A28:D28"/>
    <mergeCell ref="A35:D35"/>
    <mergeCell ref="A50:D50"/>
    <mergeCell ref="A56:D56"/>
    <mergeCell ref="A62:D62"/>
    <mergeCell ref="A69:D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7" min="2" style="1" width="16"/>
  </cols>
  <sheetData>
    <row r="1" customFormat="false" ht="17.25" hidden="false" customHeight="true" outlineLevel="0" collapsed="false">
      <c r="A1" s="19" t="s">
        <v>113</v>
      </c>
    </row>
    <row r="2" customFormat="false" ht="15" hidden="false" customHeight="true" outlineLevel="0" collapsed="false">
      <c r="A2" s="3" t="s">
        <v>114</v>
      </c>
    </row>
    <row r="4" customFormat="false" ht="15" hidden="false" customHeight="true" outlineLevel="0" collapsed="false">
      <c r="A4" s="5" t="s">
        <v>77</v>
      </c>
      <c r="B4" s="5" t="s">
        <v>115</v>
      </c>
      <c r="C4" s="5" t="s">
        <v>116</v>
      </c>
      <c r="D4" s="5" t="s">
        <v>79</v>
      </c>
      <c r="E4" s="5" t="s">
        <v>117</v>
      </c>
      <c r="F4" s="5" t="s">
        <v>118</v>
      </c>
      <c r="G4" s="5" t="s">
        <v>119</v>
      </c>
    </row>
    <row r="5" customFormat="false" ht="15" hidden="false" customHeight="true" outlineLevel="0" collapsed="false">
      <c r="A5" s="6" t="s">
        <v>80</v>
      </c>
      <c r="B5" s="30" t="n">
        <v>31</v>
      </c>
      <c r="C5" s="31" t="n">
        <f aca="false">Inputs!B37</f>
        <v>5.4</v>
      </c>
      <c r="D5" s="32" t="n">
        <f aca="false">Inputs!C37</f>
        <v>0.8</v>
      </c>
      <c r="E5" s="33" t="n">
        <f aca="false">Inputs!B20*D5</f>
        <v>5.6</v>
      </c>
      <c r="F5" s="34" t="n">
        <f aca="false">Inputs!B14*Inputs!B15*E5</f>
        <v>23800</v>
      </c>
      <c r="G5" s="34" t="n">
        <f aca="false">B5*F5</f>
        <v>737800</v>
      </c>
    </row>
    <row r="6" customFormat="false" ht="15" hidden="false" customHeight="true" outlineLevel="0" collapsed="false">
      <c r="A6" s="6" t="s">
        <v>82</v>
      </c>
      <c r="B6" s="30" t="n">
        <v>28</v>
      </c>
      <c r="C6" s="31" t="n">
        <f aca="false">Inputs!B38</f>
        <v>5.4</v>
      </c>
      <c r="D6" s="32" t="n">
        <f aca="false">Inputs!C38</f>
        <v>0.82</v>
      </c>
      <c r="E6" s="33" t="n">
        <f aca="false">Inputs!B20*D6</f>
        <v>5.74</v>
      </c>
      <c r="F6" s="34" t="n">
        <f aca="false">Inputs!B14*Inputs!B15*E6</f>
        <v>24395</v>
      </c>
      <c r="G6" s="34" t="n">
        <f aca="false">B6*F6</f>
        <v>683060</v>
      </c>
    </row>
    <row r="7" customFormat="false" ht="15" hidden="false" customHeight="true" outlineLevel="0" collapsed="false">
      <c r="A7" s="6" t="s">
        <v>83</v>
      </c>
      <c r="B7" s="30" t="n">
        <v>31</v>
      </c>
      <c r="C7" s="31" t="n">
        <f aca="false">Inputs!B39</f>
        <v>5.2</v>
      </c>
      <c r="D7" s="32" t="n">
        <f aca="false">Inputs!C39</f>
        <v>0.85</v>
      </c>
      <c r="E7" s="33" t="n">
        <f aca="false">Inputs!B20*D7</f>
        <v>5.95</v>
      </c>
      <c r="F7" s="34" t="n">
        <f aca="false">Inputs!B14*Inputs!B15*E7</f>
        <v>25287.5</v>
      </c>
      <c r="G7" s="34" t="n">
        <f aca="false">B7*F7</f>
        <v>783912.5</v>
      </c>
    </row>
    <row r="8" customFormat="false" ht="15" hidden="false" customHeight="true" outlineLevel="0" collapsed="false">
      <c r="A8" s="6" t="s">
        <v>84</v>
      </c>
      <c r="B8" s="30" t="n">
        <v>30</v>
      </c>
      <c r="C8" s="31" t="n">
        <f aca="false">Inputs!B40</f>
        <v>4.6</v>
      </c>
      <c r="D8" s="32" t="n">
        <f aca="false">Inputs!C40</f>
        <v>0.88</v>
      </c>
      <c r="E8" s="33" t="n">
        <f aca="false">Inputs!B20*D8</f>
        <v>6.16</v>
      </c>
      <c r="F8" s="34" t="n">
        <f aca="false">Inputs!B14*Inputs!B15*E8</f>
        <v>26180</v>
      </c>
      <c r="G8" s="34" t="n">
        <f aca="false">B8*F8</f>
        <v>785400</v>
      </c>
    </row>
    <row r="9" customFormat="false" ht="15" hidden="false" customHeight="true" outlineLevel="0" collapsed="false">
      <c r="A9" s="6" t="s">
        <v>85</v>
      </c>
      <c r="B9" s="30" t="n">
        <v>31</v>
      </c>
      <c r="C9" s="31" t="n">
        <f aca="false">Inputs!B41</f>
        <v>4.2</v>
      </c>
      <c r="D9" s="32" t="n">
        <f aca="false">Inputs!C41</f>
        <v>0.95</v>
      </c>
      <c r="E9" s="33" t="n">
        <f aca="false">Inputs!B20*D9</f>
        <v>6.65</v>
      </c>
      <c r="F9" s="34" t="n">
        <f aca="false">Inputs!B14*Inputs!B15*E9</f>
        <v>28262.5</v>
      </c>
      <c r="G9" s="34" t="n">
        <f aca="false">B9*F9</f>
        <v>876137.5</v>
      </c>
    </row>
    <row r="10" customFormat="false" ht="15" hidden="false" customHeight="true" outlineLevel="0" collapsed="false">
      <c r="A10" s="6" t="s">
        <v>86</v>
      </c>
      <c r="B10" s="30" t="n">
        <v>30</v>
      </c>
      <c r="C10" s="31" t="n">
        <f aca="false">Inputs!B42</f>
        <v>4</v>
      </c>
      <c r="D10" s="32" t="n">
        <f aca="false">Inputs!C42</f>
        <v>1</v>
      </c>
      <c r="E10" s="33" t="n">
        <f aca="false">Inputs!B20*D10</f>
        <v>7</v>
      </c>
      <c r="F10" s="34" t="n">
        <f aca="false">Inputs!B14*Inputs!B15*E10</f>
        <v>29750</v>
      </c>
      <c r="G10" s="34" t="n">
        <f aca="false">B10*F10</f>
        <v>892500</v>
      </c>
    </row>
    <row r="11" customFormat="false" ht="15" hidden="false" customHeight="true" outlineLevel="0" collapsed="false">
      <c r="A11" s="6" t="s">
        <v>87</v>
      </c>
      <c r="B11" s="30" t="n">
        <v>31</v>
      </c>
      <c r="C11" s="31" t="n">
        <f aca="false">Inputs!B43</f>
        <v>4.2</v>
      </c>
      <c r="D11" s="32" t="n">
        <f aca="false">Inputs!C43</f>
        <v>1</v>
      </c>
      <c r="E11" s="33" t="n">
        <f aca="false">Inputs!B20*D11</f>
        <v>7</v>
      </c>
      <c r="F11" s="34" t="n">
        <f aca="false">Inputs!B14*Inputs!B15*E11</f>
        <v>29750</v>
      </c>
      <c r="G11" s="34" t="n">
        <f aca="false">B11*F11</f>
        <v>922250</v>
      </c>
    </row>
    <row r="12" customFormat="false" ht="15" hidden="false" customHeight="true" outlineLevel="0" collapsed="false">
      <c r="A12" s="6" t="s">
        <v>88</v>
      </c>
      <c r="B12" s="30" t="n">
        <v>31</v>
      </c>
      <c r="C12" s="31" t="n">
        <f aca="false">Inputs!B44</f>
        <v>4.8</v>
      </c>
      <c r="D12" s="32" t="n">
        <f aca="false">Inputs!C44</f>
        <v>1</v>
      </c>
      <c r="E12" s="33" t="n">
        <f aca="false">Inputs!B20*D12</f>
        <v>7</v>
      </c>
      <c r="F12" s="34" t="n">
        <f aca="false">Inputs!B14*Inputs!B15*E12</f>
        <v>29750</v>
      </c>
      <c r="G12" s="34" t="n">
        <f aca="false">B12*F12</f>
        <v>922250</v>
      </c>
    </row>
    <row r="13" customFormat="false" ht="15" hidden="false" customHeight="true" outlineLevel="0" collapsed="false">
      <c r="A13" s="6" t="s">
        <v>89</v>
      </c>
      <c r="B13" s="30" t="n">
        <v>30</v>
      </c>
      <c r="C13" s="31" t="n">
        <f aca="false">Inputs!B45</f>
        <v>5.6</v>
      </c>
      <c r="D13" s="32" t="n">
        <f aca="false">Inputs!C45</f>
        <v>1</v>
      </c>
      <c r="E13" s="33" t="n">
        <f aca="false">Inputs!B20*D13</f>
        <v>7</v>
      </c>
      <c r="F13" s="34" t="n">
        <f aca="false">Inputs!B14*Inputs!B15*E13</f>
        <v>29750</v>
      </c>
      <c r="G13" s="34" t="n">
        <f aca="false">B13*F13</f>
        <v>892500</v>
      </c>
    </row>
    <row r="14" customFormat="false" ht="15" hidden="false" customHeight="true" outlineLevel="0" collapsed="false">
      <c r="A14" s="6" t="s">
        <v>90</v>
      </c>
      <c r="B14" s="30" t="n">
        <v>31</v>
      </c>
      <c r="C14" s="31" t="n">
        <f aca="false">Inputs!B46</f>
        <v>6.2</v>
      </c>
      <c r="D14" s="32" t="n">
        <f aca="false">Inputs!C46</f>
        <v>1</v>
      </c>
      <c r="E14" s="33" t="n">
        <f aca="false">Inputs!B20*D14</f>
        <v>7</v>
      </c>
      <c r="F14" s="34" t="n">
        <f aca="false">Inputs!B14*Inputs!B15*E14</f>
        <v>29750</v>
      </c>
      <c r="G14" s="34" t="n">
        <f aca="false">B14*F14</f>
        <v>922250</v>
      </c>
    </row>
    <row r="15" customFormat="false" ht="15" hidden="false" customHeight="true" outlineLevel="0" collapsed="false">
      <c r="A15" s="6" t="s">
        <v>91</v>
      </c>
      <c r="B15" s="30" t="n">
        <v>30</v>
      </c>
      <c r="C15" s="31" t="n">
        <f aca="false">Inputs!B47</f>
        <v>6</v>
      </c>
      <c r="D15" s="32" t="n">
        <f aca="false">Inputs!C47</f>
        <v>0.9</v>
      </c>
      <c r="E15" s="33" t="n">
        <f aca="false">Inputs!B20*D15</f>
        <v>6.3</v>
      </c>
      <c r="F15" s="34" t="n">
        <f aca="false">Inputs!B14*Inputs!B15*E15</f>
        <v>26775</v>
      </c>
      <c r="G15" s="34" t="n">
        <f aca="false">B15*F15</f>
        <v>803250</v>
      </c>
    </row>
    <row r="16" customFormat="false" ht="15" hidden="false" customHeight="true" outlineLevel="0" collapsed="false">
      <c r="A16" s="6" t="s">
        <v>92</v>
      </c>
      <c r="B16" s="30" t="n">
        <v>31</v>
      </c>
      <c r="C16" s="31" t="n">
        <f aca="false">Inputs!B48</f>
        <v>5.6</v>
      </c>
      <c r="D16" s="32" t="n">
        <f aca="false">Inputs!C48</f>
        <v>0.82</v>
      </c>
      <c r="E16" s="33" t="n">
        <f aca="false">Inputs!B20*D16</f>
        <v>5.74</v>
      </c>
      <c r="F16" s="34" t="n">
        <f aca="false">Inputs!B14*Inputs!B15*E16</f>
        <v>24395</v>
      </c>
      <c r="G16" s="34" t="n">
        <f aca="false">B16*F16</f>
        <v>756245</v>
      </c>
    </row>
    <row r="17" customFormat="false" ht="15" hidden="false" customHeight="true" outlineLevel="0" collapsed="false">
      <c r="A17" s="35" t="s">
        <v>120</v>
      </c>
      <c r="F17" s="36" t="n">
        <f aca="false">AVERAGE(F5:F16)</f>
        <v>27320.4166666667</v>
      </c>
      <c r="G17" s="36" t="n">
        <f aca="false">SUM(G5:G16)</f>
        <v>9977555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" style="1" width="14"/>
  </cols>
  <sheetData>
    <row r="1" customFormat="false" ht="17.25" hidden="false" customHeight="true" outlineLevel="0" collapsed="false">
      <c r="A1" s="19" t="s">
        <v>121</v>
      </c>
    </row>
    <row r="2" customFormat="false" ht="15" hidden="false" customHeight="true" outlineLevel="0" collapsed="false">
      <c r="A2" s="3" t="s">
        <v>122</v>
      </c>
    </row>
    <row r="4" customFormat="false" ht="15" hidden="false" customHeight="true" outlineLevel="0" collapsed="false">
      <c r="A4" s="5" t="s">
        <v>77</v>
      </c>
      <c r="B4" s="5" t="s">
        <v>116</v>
      </c>
      <c r="C4" s="5" t="s">
        <v>123</v>
      </c>
      <c r="D4" s="5" t="s">
        <v>124</v>
      </c>
      <c r="E4" s="5" t="s">
        <v>125</v>
      </c>
      <c r="F4" s="5" t="s">
        <v>126</v>
      </c>
      <c r="G4" s="5" t="s">
        <v>127</v>
      </c>
      <c r="H4" s="5" t="s">
        <v>128</v>
      </c>
    </row>
    <row r="5" customFormat="false" ht="15" hidden="false" customHeight="true" outlineLevel="0" collapsed="false">
      <c r="A5" s="6" t="s">
        <v>80</v>
      </c>
      <c r="B5" s="31" t="n">
        <f aca="false">Inputs!B37</f>
        <v>5.4</v>
      </c>
      <c r="C5" s="37" t="n">
        <f aca="false">Inputs!B52*B5</f>
        <v>5.4</v>
      </c>
      <c r="D5" s="37" t="n">
        <f aca="false">Inputs!B53*B5</f>
        <v>6.21</v>
      </c>
      <c r="E5" s="37" t="n">
        <f aca="false">Inputs!B54*B5</f>
        <v>5.67</v>
      </c>
      <c r="F5" s="37" t="n">
        <f aca="false">C5</f>
        <v>5.4</v>
      </c>
      <c r="G5" s="37" t="n">
        <f aca="false">D5</f>
        <v>6.21</v>
      </c>
      <c r="H5" s="37" t="n">
        <f aca="false">E5</f>
        <v>5.67</v>
      </c>
    </row>
    <row r="6" customFormat="false" ht="15" hidden="false" customHeight="true" outlineLevel="0" collapsed="false">
      <c r="A6" s="6" t="s">
        <v>82</v>
      </c>
      <c r="B6" s="31" t="n">
        <f aca="false">Inputs!B38</f>
        <v>5.4</v>
      </c>
      <c r="C6" s="37" t="n">
        <f aca="false">Inputs!B52*B6</f>
        <v>5.4</v>
      </c>
      <c r="D6" s="37" t="n">
        <f aca="false">Inputs!B53*B6</f>
        <v>6.21</v>
      </c>
      <c r="E6" s="37" t="n">
        <f aca="false">Inputs!B54*B6</f>
        <v>5.67</v>
      </c>
      <c r="F6" s="37" t="n">
        <f aca="false">C6</f>
        <v>5.4</v>
      </c>
      <c r="G6" s="37" t="n">
        <f aca="false">D6</f>
        <v>6.21</v>
      </c>
      <c r="H6" s="37" t="n">
        <f aca="false">E6</f>
        <v>5.67</v>
      </c>
    </row>
    <row r="7" customFormat="false" ht="15" hidden="false" customHeight="true" outlineLevel="0" collapsed="false">
      <c r="A7" s="6" t="s">
        <v>83</v>
      </c>
      <c r="B7" s="31" t="n">
        <f aca="false">Inputs!B39</f>
        <v>5.2</v>
      </c>
      <c r="C7" s="37" t="n">
        <f aca="false">Inputs!B52*B7</f>
        <v>5.2</v>
      </c>
      <c r="D7" s="37" t="n">
        <f aca="false">Inputs!B53*B7</f>
        <v>5.98</v>
      </c>
      <c r="E7" s="37" t="n">
        <f aca="false">Inputs!B54*B7</f>
        <v>5.46</v>
      </c>
      <c r="F7" s="37" t="n">
        <f aca="false">C7</f>
        <v>5.2</v>
      </c>
      <c r="G7" s="37" t="n">
        <f aca="false">D7</f>
        <v>5.98</v>
      </c>
      <c r="H7" s="37" t="n">
        <f aca="false">E7</f>
        <v>5.46</v>
      </c>
    </row>
    <row r="8" customFormat="false" ht="15" hidden="false" customHeight="true" outlineLevel="0" collapsed="false">
      <c r="A8" s="6" t="s">
        <v>84</v>
      </c>
      <c r="B8" s="31" t="n">
        <f aca="false">Inputs!B40</f>
        <v>4.6</v>
      </c>
      <c r="C8" s="37" t="n">
        <f aca="false">Inputs!B52*B8</f>
        <v>4.6</v>
      </c>
      <c r="D8" s="37" t="n">
        <f aca="false">Inputs!B53*B8</f>
        <v>5.29</v>
      </c>
      <c r="E8" s="37" t="n">
        <f aca="false">Inputs!B54*B8</f>
        <v>4.83</v>
      </c>
      <c r="F8" s="37" t="n">
        <f aca="false">C8</f>
        <v>4.6</v>
      </c>
      <c r="G8" s="37" t="n">
        <f aca="false">D8</f>
        <v>5.29</v>
      </c>
      <c r="H8" s="37" t="n">
        <f aca="false">E8</f>
        <v>4.83</v>
      </c>
    </row>
    <row r="9" customFormat="false" ht="15" hidden="false" customHeight="true" outlineLevel="0" collapsed="false">
      <c r="A9" s="6" t="s">
        <v>85</v>
      </c>
      <c r="B9" s="31" t="n">
        <f aca="false">Inputs!B41</f>
        <v>4.2</v>
      </c>
      <c r="C9" s="37" t="n">
        <f aca="false">Inputs!B52*B9</f>
        <v>4.2</v>
      </c>
      <c r="D9" s="37" t="n">
        <f aca="false">Inputs!B53*B9</f>
        <v>4.83</v>
      </c>
      <c r="E9" s="37" t="n">
        <f aca="false">Inputs!B54*B9</f>
        <v>4.41</v>
      </c>
      <c r="F9" s="37" t="n">
        <f aca="false">C9</f>
        <v>4.2</v>
      </c>
      <c r="G9" s="37" t="n">
        <f aca="false">D9</f>
        <v>4.83</v>
      </c>
      <c r="H9" s="37" t="n">
        <f aca="false">E9</f>
        <v>4.41</v>
      </c>
    </row>
    <row r="10" customFormat="false" ht="15" hidden="false" customHeight="true" outlineLevel="0" collapsed="false">
      <c r="A10" s="6" t="s">
        <v>86</v>
      </c>
      <c r="B10" s="31" t="n">
        <f aca="false">Inputs!B42</f>
        <v>4</v>
      </c>
      <c r="C10" s="37" t="n">
        <f aca="false">Inputs!B52*B10</f>
        <v>4</v>
      </c>
      <c r="D10" s="37" t="n">
        <f aca="false">Inputs!B53*B10</f>
        <v>4.6</v>
      </c>
      <c r="E10" s="37" t="n">
        <f aca="false">Inputs!B54*B10</f>
        <v>4.2</v>
      </c>
      <c r="F10" s="37" t="n">
        <f aca="false">C10</f>
        <v>4</v>
      </c>
      <c r="G10" s="37" t="n">
        <f aca="false">D10</f>
        <v>4.6</v>
      </c>
      <c r="H10" s="37" t="n">
        <f aca="false">E10</f>
        <v>4.2</v>
      </c>
    </row>
    <row r="11" customFormat="false" ht="15" hidden="false" customHeight="true" outlineLevel="0" collapsed="false">
      <c r="A11" s="6" t="s">
        <v>87</v>
      </c>
      <c r="B11" s="31" t="n">
        <f aca="false">Inputs!B43</f>
        <v>4.2</v>
      </c>
      <c r="C11" s="37" t="n">
        <f aca="false">Inputs!B52*B11</f>
        <v>4.2</v>
      </c>
      <c r="D11" s="37" t="n">
        <f aca="false">Inputs!B53*B11</f>
        <v>4.83</v>
      </c>
      <c r="E11" s="37" t="n">
        <f aca="false">Inputs!B54*B11</f>
        <v>4.41</v>
      </c>
      <c r="F11" s="37" t="n">
        <f aca="false">C11</f>
        <v>4.2</v>
      </c>
      <c r="G11" s="37" t="n">
        <f aca="false">D11</f>
        <v>4.83</v>
      </c>
      <c r="H11" s="37" t="n">
        <f aca="false">E11</f>
        <v>4.41</v>
      </c>
    </row>
    <row r="12" customFormat="false" ht="15" hidden="false" customHeight="true" outlineLevel="0" collapsed="false">
      <c r="A12" s="6" t="s">
        <v>88</v>
      </c>
      <c r="B12" s="31" t="n">
        <f aca="false">Inputs!B44</f>
        <v>4.8</v>
      </c>
      <c r="C12" s="37" t="n">
        <f aca="false">Inputs!B52*B12</f>
        <v>4.8</v>
      </c>
      <c r="D12" s="37" t="n">
        <f aca="false">Inputs!B53*B12</f>
        <v>5.52</v>
      </c>
      <c r="E12" s="37" t="n">
        <f aca="false">Inputs!B54*B12</f>
        <v>5.04</v>
      </c>
      <c r="F12" s="37" t="n">
        <f aca="false">C12</f>
        <v>4.8</v>
      </c>
      <c r="G12" s="37" t="n">
        <f aca="false">D12</f>
        <v>5.52</v>
      </c>
      <c r="H12" s="37" t="n">
        <f aca="false">E12</f>
        <v>5.04</v>
      </c>
    </row>
    <row r="13" customFormat="false" ht="15" hidden="false" customHeight="true" outlineLevel="0" collapsed="false">
      <c r="A13" s="6" t="s">
        <v>89</v>
      </c>
      <c r="B13" s="31" t="n">
        <f aca="false">Inputs!B45</f>
        <v>5.6</v>
      </c>
      <c r="C13" s="37" t="n">
        <f aca="false">Inputs!B52*B13</f>
        <v>5.6</v>
      </c>
      <c r="D13" s="37" t="n">
        <f aca="false">Inputs!B53*B13</f>
        <v>6.44</v>
      </c>
      <c r="E13" s="37" t="n">
        <f aca="false">Inputs!B54*B13</f>
        <v>5.88</v>
      </c>
      <c r="F13" s="37" t="n">
        <f aca="false">C13</f>
        <v>5.6</v>
      </c>
      <c r="G13" s="37" t="n">
        <f aca="false">D13</f>
        <v>6.44</v>
      </c>
      <c r="H13" s="37" t="n">
        <f aca="false">E13</f>
        <v>5.88</v>
      </c>
    </row>
    <row r="14" customFormat="false" ht="15" hidden="false" customHeight="true" outlineLevel="0" collapsed="false">
      <c r="A14" s="6" t="s">
        <v>90</v>
      </c>
      <c r="B14" s="31" t="n">
        <f aca="false">Inputs!B46</f>
        <v>6.2</v>
      </c>
      <c r="C14" s="37" t="n">
        <f aca="false">Inputs!B52*B14</f>
        <v>6.2</v>
      </c>
      <c r="D14" s="37" t="n">
        <f aca="false">Inputs!B53*B14</f>
        <v>7.13</v>
      </c>
      <c r="E14" s="37" t="n">
        <f aca="false">Inputs!B54*B14</f>
        <v>6.51</v>
      </c>
      <c r="F14" s="37" t="n">
        <f aca="false">C14</f>
        <v>6.2</v>
      </c>
      <c r="G14" s="37" t="n">
        <f aca="false">D14</f>
        <v>7.13</v>
      </c>
      <c r="H14" s="37" t="n">
        <f aca="false">E14</f>
        <v>6.51</v>
      </c>
    </row>
    <row r="15" customFormat="false" ht="15" hidden="false" customHeight="true" outlineLevel="0" collapsed="false">
      <c r="A15" s="6" t="s">
        <v>91</v>
      </c>
      <c r="B15" s="31" t="n">
        <f aca="false">Inputs!B47</f>
        <v>6</v>
      </c>
      <c r="C15" s="37" t="n">
        <f aca="false">Inputs!B52*B15</f>
        <v>6</v>
      </c>
      <c r="D15" s="37" t="n">
        <f aca="false">Inputs!B53*B15</f>
        <v>6.9</v>
      </c>
      <c r="E15" s="37" t="n">
        <f aca="false">Inputs!B54*B15</f>
        <v>6.3</v>
      </c>
      <c r="F15" s="37" t="n">
        <f aca="false">C15</f>
        <v>6</v>
      </c>
      <c r="G15" s="37" t="n">
        <f aca="false">D15</f>
        <v>6.9</v>
      </c>
      <c r="H15" s="37" t="n">
        <f aca="false">E15</f>
        <v>6.3</v>
      </c>
    </row>
    <row r="16" customFormat="false" ht="15" hidden="false" customHeight="true" outlineLevel="0" collapsed="false">
      <c r="A16" s="6" t="s">
        <v>92</v>
      </c>
      <c r="B16" s="31" t="n">
        <f aca="false">Inputs!B48</f>
        <v>5.6</v>
      </c>
      <c r="C16" s="37" t="n">
        <f aca="false">Inputs!B52*B16</f>
        <v>5.6</v>
      </c>
      <c r="D16" s="37" t="n">
        <f aca="false">Inputs!B53*B16</f>
        <v>6.44</v>
      </c>
      <c r="E16" s="37" t="n">
        <f aca="false">Inputs!B54*B16</f>
        <v>5.88</v>
      </c>
      <c r="F16" s="37" t="n">
        <f aca="false">C16</f>
        <v>5.6</v>
      </c>
      <c r="G16" s="37" t="n">
        <f aca="false">D16</f>
        <v>6.44</v>
      </c>
      <c r="H16" s="37" t="n">
        <f aca="false">E16</f>
        <v>5.88</v>
      </c>
    </row>
    <row r="17" customFormat="false" ht="15" hidden="false" customHeight="true" outlineLevel="0" collapsed="false">
      <c r="A17" s="35" t="s">
        <v>129</v>
      </c>
      <c r="B17" s="38" t="n">
        <f aca="false">AVERAGE(B5:B16)</f>
        <v>5.1</v>
      </c>
      <c r="C17" s="38" t="n">
        <f aca="false">AVERAGE(C5:C16)</f>
        <v>5.1</v>
      </c>
      <c r="D17" s="38" t="n">
        <f aca="false">AVERAGE(D5:D16)</f>
        <v>5.865</v>
      </c>
      <c r="E17" s="38" t="n">
        <f aca="false">AVERAGE(E5:E16)</f>
        <v>5.355</v>
      </c>
      <c r="F17" s="38" t="n">
        <f aca="false">AVERAGE(F5:F16)</f>
        <v>5.1</v>
      </c>
      <c r="G17" s="38" t="n">
        <f aca="false">AVERAGE(G5:G16)</f>
        <v>5.865</v>
      </c>
      <c r="H17" s="38" t="n">
        <f aca="false">AVERAGE(H5:H16)</f>
        <v>5.355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7" min="2" style="1" width="18"/>
  </cols>
  <sheetData>
    <row r="1" customFormat="false" ht="17.25" hidden="false" customHeight="true" outlineLevel="0" collapsed="false">
      <c r="A1" s="19" t="s">
        <v>130</v>
      </c>
    </row>
    <row r="2" customFormat="false" ht="15" hidden="false" customHeight="true" outlineLevel="0" collapsed="false">
      <c r="A2" s="3" t="s">
        <v>131</v>
      </c>
    </row>
    <row r="4" customFormat="false" ht="15" hidden="false" customHeight="true" outlineLevel="0" collapsed="false">
      <c r="A4" s="35" t="s">
        <v>132</v>
      </c>
    </row>
    <row r="5" customFormat="false" ht="15" hidden="false" customHeight="true" outlineLevel="0" collapsed="false">
      <c r="A5" s="5" t="s">
        <v>133</v>
      </c>
      <c r="B5" s="5" t="s">
        <v>134</v>
      </c>
      <c r="C5" s="5" t="s">
        <v>135</v>
      </c>
      <c r="D5" s="5" t="s">
        <v>136</v>
      </c>
    </row>
    <row r="6" customFormat="false" ht="15" hidden="false" customHeight="true" outlineLevel="0" collapsed="false">
      <c r="A6" s="6" t="s">
        <v>137</v>
      </c>
      <c r="B6" s="39" t="s">
        <v>138</v>
      </c>
      <c r="C6" s="39" t="s">
        <v>138</v>
      </c>
      <c r="D6" s="40" t="n">
        <f aca="false">1</f>
        <v>1</v>
      </c>
    </row>
    <row r="7" customFormat="false" ht="15" hidden="false" customHeight="true" outlineLevel="0" collapsed="false">
      <c r="A7" s="6" t="s">
        <v>139</v>
      </c>
      <c r="B7" s="39" t="s">
        <v>140</v>
      </c>
      <c r="C7" s="39" t="s">
        <v>138</v>
      </c>
      <c r="D7" s="40" t="n">
        <f aca="false">(1-Inputs!B73)</f>
        <v>0.75</v>
      </c>
    </row>
    <row r="8" customFormat="false" ht="15" hidden="false" customHeight="true" outlineLevel="0" collapsed="false">
      <c r="A8" s="6" t="s">
        <v>141</v>
      </c>
      <c r="B8" s="39" t="s">
        <v>138</v>
      </c>
      <c r="C8" s="39" t="s">
        <v>140</v>
      </c>
      <c r="D8" s="40" t="n">
        <f aca="false">(1-Inputs!B74)</f>
        <v>0.85</v>
      </c>
    </row>
    <row r="9" customFormat="false" ht="15" hidden="false" customHeight="true" outlineLevel="0" collapsed="false">
      <c r="A9" s="6" t="s">
        <v>142</v>
      </c>
      <c r="B9" s="39" t="s">
        <v>140</v>
      </c>
      <c r="C9" s="39" t="s">
        <v>140</v>
      </c>
      <c r="D9" s="40" t="n">
        <f aca="false">(1-Inputs!B73)*(1-Inputs!B74)</f>
        <v>0.6375</v>
      </c>
    </row>
    <row r="11" customFormat="false" ht="15" hidden="false" customHeight="true" outlineLevel="0" collapsed="false">
      <c r="A11" s="35" t="s">
        <v>143</v>
      </c>
    </row>
    <row r="12" customFormat="false" ht="15" hidden="false" customHeight="true" outlineLevel="0" collapsed="false">
      <c r="A12" s="3" t="s">
        <v>144</v>
      </c>
    </row>
    <row r="13" customFormat="false" ht="15" hidden="false" customHeight="true" outlineLevel="0" collapsed="false">
      <c r="A13" s="5" t="s">
        <v>145</v>
      </c>
      <c r="B13" s="5" t="s">
        <v>146</v>
      </c>
      <c r="C13" s="5" t="s">
        <v>147</v>
      </c>
      <c r="D13" s="5" t="s">
        <v>148</v>
      </c>
      <c r="E13" s="5" t="s">
        <v>149</v>
      </c>
      <c r="F13" s="5" t="s">
        <v>150</v>
      </c>
    </row>
    <row r="14" customFormat="false" ht="15" hidden="false" customHeight="true" outlineLevel="0" collapsed="false">
      <c r="A14" s="6" t="s">
        <v>151</v>
      </c>
      <c r="B14" s="37" t="n">
        <f aca="false">Inputs!B46*AVERAGE(Inputs!B52,Inputs!B53,Inputs!B54)</f>
        <v>6.61333333333333</v>
      </c>
      <c r="C14" s="17" t="n">
        <f aca="false">Inputs!B71</f>
        <v>0.55</v>
      </c>
      <c r="D14" s="17" t="n">
        <f aca="false">Inputs!B72</f>
        <v>0.9</v>
      </c>
      <c r="E14" s="37" t="n">
        <f aca="false">B14/C14</f>
        <v>12.0242424242424</v>
      </c>
      <c r="F14" s="37" t="n">
        <f aca="false">B14/D14</f>
        <v>7.34814814814815</v>
      </c>
    </row>
    <row r="15" customFormat="false" ht="15" hidden="false" customHeight="true" outlineLevel="0" collapsed="false">
      <c r="A15" s="6" t="s">
        <v>152</v>
      </c>
      <c r="B15" s="37" t="n">
        <f aca="false">B14*(1-Inputs!B73)*(1-Inputs!B74)</f>
        <v>4.216</v>
      </c>
      <c r="C15" s="17" t="n">
        <f aca="false">Inputs!B71</f>
        <v>0.55</v>
      </c>
      <c r="D15" s="17" t="n">
        <f aca="false">Inputs!B72</f>
        <v>0.9</v>
      </c>
      <c r="E15" s="37" t="n">
        <f aca="false">B15/C15</f>
        <v>7.66545454545455</v>
      </c>
      <c r="F15" s="37" t="n">
        <f aca="false">B15/D15</f>
        <v>4.68444444444445</v>
      </c>
    </row>
    <row r="17" customFormat="false" ht="15" hidden="false" customHeight="true" outlineLevel="0" collapsed="false">
      <c r="A17" s="35" t="s">
        <v>153</v>
      </c>
      <c r="B17" s="41" t="n">
        <f aca="false">1-F14/E14</f>
        <v>0.388888888888889</v>
      </c>
    </row>
    <row r="18" customFormat="false" ht="15" hidden="false" customHeight="true" outlineLevel="0" collapsed="false">
      <c r="A18" s="35" t="s">
        <v>154</v>
      </c>
      <c r="B18" s="41" t="n">
        <f aca="false">1-B15/B14</f>
        <v>0.3625</v>
      </c>
    </row>
    <row r="19" customFormat="false" ht="15" hidden="false" customHeight="true" outlineLevel="0" collapsed="false">
      <c r="A19" s="35" t="s">
        <v>155</v>
      </c>
      <c r="B19" s="41" t="n">
        <f aca="false">1-F15/E14</f>
        <v>0.610416666666667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6"/>
  </cols>
  <sheetData>
    <row r="1" customFormat="false" ht="17.25" hidden="false" customHeight="true" outlineLevel="0" collapsed="false">
      <c r="A1" s="19" t="s">
        <v>156</v>
      </c>
    </row>
    <row r="2" customFormat="false" ht="15" hidden="false" customHeight="true" outlineLevel="0" collapsed="false">
      <c r="A2" s="3" t="s">
        <v>157</v>
      </c>
    </row>
    <row r="4" customFormat="false" ht="15" hidden="false" customHeight="true" outlineLevel="0" collapsed="false">
      <c r="A4" s="5" t="s">
        <v>41</v>
      </c>
      <c r="B4" s="5" t="s">
        <v>5</v>
      </c>
      <c r="C4" s="5" t="s">
        <v>6</v>
      </c>
      <c r="D4" s="5" t="s">
        <v>42</v>
      </c>
    </row>
    <row r="5" customFormat="false" ht="15" hidden="false" customHeight="true" outlineLevel="0" collapsed="false">
      <c r="A5" s="6" t="s">
        <v>158</v>
      </c>
      <c r="B5" s="42" t="n">
        <f aca="false">Inputs!B30*Inputs!B33</f>
        <v>3035.145</v>
      </c>
      <c r="C5" s="8" t="s">
        <v>20</v>
      </c>
    </row>
    <row r="6" customFormat="false" ht="15" hidden="false" customHeight="true" outlineLevel="0" collapsed="false">
      <c r="A6" s="6" t="s">
        <v>72</v>
      </c>
      <c r="B6" s="42" t="n">
        <f aca="false">Inputs!B32*Inputs!B33</f>
        <v>3035.145</v>
      </c>
      <c r="C6" s="8" t="s">
        <v>20</v>
      </c>
    </row>
    <row r="7" customFormat="false" ht="15" hidden="false" customHeight="true" outlineLevel="0" collapsed="false">
      <c r="A7" s="6" t="s">
        <v>159</v>
      </c>
      <c r="B7" s="42" t="n">
        <f aca="false">B5+B6</f>
        <v>6070.29</v>
      </c>
      <c r="C7" s="8" t="s">
        <v>20</v>
      </c>
    </row>
    <row r="9" customFormat="false" ht="15" hidden="false" customHeight="true" outlineLevel="0" collapsed="false">
      <c r="A9" s="6" t="s">
        <v>160</v>
      </c>
      <c r="B9" s="37" t="n">
        <f aca="false">Inputs!B46*AVERAGE(Inputs!B52,Inputs!B53,Inputs!B54)</f>
        <v>6.61333333333333</v>
      </c>
      <c r="C9" s="8" t="s">
        <v>161</v>
      </c>
    </row>
    <row r="10" customFormat="false" ht="15" hidden="false" customHeight="true" outlineLevel="0" collapsed="false">
      <c r="A10" s="6" t="s">
        <v>162</v>
      </c>
      <c r="B10" s="37" t="n">
        <f aca="false">B9*(1-Inputs!B73)*(1-Inputs!B74)/Inputs!B72</f>
        <v>4.68444444444445</v>
      </c>
      <c r="C10" s="8" t="s">
        <v>161</v>
      </c>
    </row>
    <row r="11" customFormat="false" ht="15" hidden="false" customHeight="true" outlineLevel="0" collapsed="false">
      <c r="A11" s="6" t="s">
        <v>163</v>
      </c>
      <c r="B11" s="42" t="n">
        <f aca="false">B7*B10</f>
        <v>28435.9362666667</v>
      </c>
      <c r="C11" s="8" t="s">
        <v>11</v>
      </c>
    </row>
    <row r="13" customFormat="false" ht="15" hidden="false" customHeight="true" outlineLevel="0" collapsed="false">
      <c r="A13" s="6" t="s">
        <v>164</v>
      </c>
      <c r="B13" s="7" t="n">
        <f aca="false">Inputs!B25+Inputs!B26</f>
        <v>20000</v>
      </c>
      <c r="C13" s="8" t="s">
        <v>15</v>
      </c>
    </row>
    <row r="14" customFormat="false" ht="15" hidden="false" customHeight="true" outlineLevel="0" collapsed="false">
      <c r="A14" s="6" t="s">
        <v>165</v>
      </c>
      <c r="B14" s="7" t="n">
        <f aca="false">Inputs!B24</f>
        <v>4000</v>
      </c>
      <c r="C14" s="8" t="s">
        <v>15</v>
      </c>
    </row>
    <row r="15" customFormat="false" ht="15" hidden="false" customHeight="true" outlineLevel="0" collapsed="false">
      <c r="A15" s="35" t="s">
        <v>14</v>
      </c>
      <c r="B15" s="36" t="n">
        <f aca="false">B13+B14</f>
        <v>24000</v>
      </c>
      <c r="C15" s="8" t="s">
        <v>15</v>
      </c>
    </row>
    <row r="17" customFormat="false" ht="15" hidden="false" customHeight="true" outlineLevel="0" collapsed="false">
      <c r="A17" s="35" t="s">
        <v>166</v>
      </c>
      <c r="B17" s="38" t="n">
        <f aca="false">IFERROR(B13/B11,0)</f>
        <v>0.703335378601355</v>
      </c>
      <c r="C17" s="8" t="s">
        <v>17</v>
      </c>
    </row>
    <row r="18" customFormat="false" ht="15" hidden="false" customHeight="true" outlineLevel="0" collapsed="false">
      <c r="A18" s="6" t="s">
        <v>167</v>
      </c>
      <c r="B18" s="7" t="n">
        <f aca="false">Well_Solar!F14</f>
        <v>29750</v>
      </c>
      <c r="C18" s="8" t="s">
        <v>11</v>
      </c>
    </row>
    <row r="19" customFormat="false" ht="15" hidden="false" customHeight="true" outlineLevel="0" collapsed="false">
      <c r="A19" s="35" t="s">
        <v>168</v>
      </c>
      <c r="B19" s="38" t="n">
        <f aca="false">IFERROR(B18/B11,0)</f>
        <v>1.04621137566952</v>
      </c>
      <c r="C19" s="8" t="s">
        <v>169</v>
      </c>
      <c r="D19" s="3" t="s">
        <v>170</v>
      </c>
    </row>
    <row r="21" customFormat="false" ht="15" hidden="false" customHeight="true" outlineLevel="0" collapsed="false">
      <c r="A21" s="35" t="s">
        <v>171</v>
      </c>
    </row>
    <row r="22" customFormat="false" ht="15" hidden="false" customHeight="true" outlineLevel="0" collapsed="false">
      <c r="A22" s="5" t="s">
        <v>77</v>
      </c>
      <c r="B22" s="5" t="s">
        <v>172</v>
      </c>
      <c r="C22" s="5" t="s">
        <v>173</v>
      </c>
      <c r="D22" s="5" t="s">
        <v>174</v>
      </c>
      <c r="E22" s="5" t="s">
        <v>175</v>
      </c>
    </row>
    <row r="23" customFormat="false" ht="15" hidden="false" customHeight="true" outlineLevel="0" collapsed="false">
      <c r="A23" s="6" t="s">
        <v>80</v>
      </c>
      <c r="B23" s="7" t="n">
        <f aca="false">Well_Solar!F5</f>
        <v>23800</v>
      </c>
      <c r="C23" s="42" t="n">
        <f aca="false">B7*Inputs!B37*AVERAGE(Inputs!B52,Inputs!B53,Inputs!B54)*(1-Inputs!B73)*(1-Inputs!B74)/Inputs!B72</f>
        <v>24766.7832</v>
      </c>
      <c r="D23" s="42" t="n">
        <f aca="false">B23-C23</f>
        <v>-966.783199999994</v>
      </c>
      <c r="E23" s="28" t="n">
        <f aca="false">IFERROR(D23/C23,0)</f>
        <v>-0.0390354771628152</v>
      </c>
    </row>
    <row r="24" customFormat="false" ht="15" hidden="false" customHeight="true" outlineLevel="0" collapsed="false">
      <c r="A24" s="6" t="s">
        <v>82</v>
      </c>
      <c r="B24" s="7" t="n">
        <f aca="false">Well_Solar!F6</f>
        <v>24395</v>
      </c>
      <c r="C24" s="42" t="n">
        <f aca="false">B7*Inputs!B38*AVERAGE(Inputs!B52,Inputs!B53,Inputs!B54)*(1-Inputs!B73)*(1-Inputs!B74)/Inputs!B72</f>
        <v>24766.7832</v>
      </c>
      <c r="D24" s="42" t="n">
        <f aca="false">B24-C24</f>
        <v>-371.783200000002</v>
      </c>
      <c r="E24" s="28" t="n">
        <f aca="false">IFERROR(D24/C24,0)</f>
        <v>-0.0150113640918858</v>
      </c>
    </row>
    <row r="25" customFormat="false" ht="15" hidden="false" customHeight="true" outlineLevel="0" collapsed="false">
      <c r="A25" s="6" t="s">
        <v>83</v>
      </c>
      <c r="B25" s="7" t="n">
        <f aca="false">Well_Solar!F7</f>
        <v>25287.5</v>
      </c>
      <c r="C25" s="42" t="n">
        <f aca="false">B7*Inputs!B39*AVERAGE(Inputs!B52,Inputs!B53,Inputs!B54)*(1-Inputs!B73)*(1-Inputs!B74)/Inputs!B72</f>
        <v>23849.4949333333</v>
      </c>
      <c r="D25" s="42" t="n">
        <f aca="false">B25-C25</f>
        <v>1438.00506666667</v>
      </c>
      <c r="E25" s="28" t="n">
        <f aca="false">IFERROR(D25/C25,0)</f>
        <v>0.0602949903419898</v>
      </c>
    </row>
    <row r="26" customFormat="false" ht="15" hidden="false" customHeight="true" outlineLevel="0" collapsed="false">
      <c r="A26" s="6" t="s">
        <v>84</v>
      </c>
      <c r="B26" s="7" t="n">
        <f aca="false">Well_Solar!F8</f>
        <v>26180</v>
      </c>
      <c r="C26" s="42" t="n">
        <f aca="false">B7*Inputs!B40*AVERAGE(Inputs!B52,Inputs!B53,Inputs!B54)*(1-Inputs!B73)*(1-Inputs!B74)/Inputs!B72</f>
        <v>21097.6301333333</v>
      </c>
      <c r="D26" s="42" t="n">
        <f aca="false">B26-C26</f>
        <v>5082.36986666667</v>
      </c>
      <c r="E26" s="28" t="n">
        <f aca="false">IFERROR(D26/C26,0)</f>
        <v>0.240897666446278</v>
      </c>
    </row>
    <row r="27" customFormat="false" ht="15" hidden="false" customHeight="true" outlineLevel="0" collapsed="false">
      <c r="A27" s="6" t="s">
        <v>85</v>
      </c>
      <c r="B27" s="7" t="n">
        <f aca="false">Well_Solar!F9</f>
        <v>28262.5</v>
      </c>
      <c r="C27" s="42" t="n">
        <f aca="false">B7*Inputs!B41*AVERAGE(Inputs!B52,Inputs!B53,Inputs!B54)*(1-Inputs!B73)*(1-Inputs!B74)/Inputs!B72</f>
        <v>19263.0536</v>
      </c>
      <c r="D27" s="42" t="n">
        <f aca="false">B27-C27</f>
        <v>8999.4464</v>
      </c>
      <c r="E27" s="28" t="n">
        <f aca="false">IFERROR(D27/C27,0)</f>
        <v>0.467186905403201</v>
      </c>
    </row>
    <row r="28" customFormat="false" ht="15" hidden="false" customHeight="true" outlineLevel="0" collapsed="false">
      <c r="A28" s="6" t="s">
        <v>86</v>
      </c>
      <c r="B28" s="7" t="n">
        <f aca="false">Well_Solar!F10</f>
        <v>29750</v>
      </c>
      <c r="C28" s="42" t="n">
        <f aca="false">B7*Inputs!B42*AVERAGE(Inputs!B52,Inputs!B53,Inputs!B54)*(1-Inputs!B73)*(1-Inputs!B74)/Inputs!B72</f>
        <v>18345.7653333333</v>
      </c>
      <c r="D28" s="42" t="n">
        <f aca="false">B28-C28</f>
        <v>11404.2346666667</v>
      </c>
      <c r="E28" s="28" t="n">
        <f aca="false">IFERROR(D28/C28,0)</f>
        <v>0.621627632287749</v>
      </c>
    </row>
    <row r="29" customFormat="false" ht="15" hidden="false" customHeight="true" outlineLevel="0" collapsed="false">
      <c r="A29" s="6" t="s">
        <v>87</v>
      </c>
      <c r="B29" s="7" t="n">
        <f aca="false">Well_Solar!F11</f>
        <v>29750</v>
      </c>
      <c r="C29" s="42" t="n">
        <f aca="false">B7*Inputs!B43*AVERAGE(Inputs!B52,Inputs!B53,Inputs!B54)*(1-Inputs!B73)*(1-Inputs!B74)/Inputs!B72</f>
        <v>19263.0536</v>
      </c>
      <c r="D29" s="42" t="n">
        <f aca="false">B29-C29</f>
        <v>10486.9464</v>
      </c>
      <c r="E29" s="28" t="n">
        <f aca="false">IFERROR(D29/C29,0)</f>
        <v>0.544407268845475</v>
      </c>
    </row>
    <row r="30" customFormat="false" ht="15" hidden="false" customHeight="true" outlineLevel="0" collapsed="false">
      <c r="A30" s="6" t="s">
        <v>88</v>
      </c>
      <c r="B30" s="7" t="n">
        <f aca="false">Well_Solar!F12</f>
        <v>29750</v>
      </c>
      <c r="C30" s="42" t="n">
        <f aca="false">B7*Inputs!B44*AVERAGE(Inputs!B52,Inputs!B53,Inputs!B54)*(1-Inputs!B73)*(1-Inputs!B74)/Inputs!B72</f>
        <v>22014.9184</v>
      </c>
      <c r="D30" s="42" t="n">
        <f aca="false">B30-C30</f>
        <v>7735.0816</v>
      </c>
      <c r="E30" s="28" t="n">
        <f aca="false">IFERROR(D30/C30,0)</f>
        <v>0.351356360239791</v>
      </c>
    </row>
    <row r="31" customFormat="false" ht="15" hidden="false" customHeight="true" outlineLevel="0" collapsed="false">
      <c r="A31" s="6" t="s">
        <v>89</v>
      </c>
      <c r="B31" s="7" t="n">
        <f aca="false">Well_Solar!F13</f>
        <v>29750</v>
      </c>
      <c r="C31" s="42" t="n">
        <f aca="false">B7*Inputs!B45*AVERAGE(Inputs!B52,Inputs!B53,Inputs!B54)*(1-Inputs!B73)*(1-Inputs!B74)/Inputs!B72</f>
        <v>25684.0714666667</v>
      </c>
      <c r="D31" s="42" t="n">
        <f aca="false">B31-C31</f>
        <v>4065.92853333334</v>
      </c>
      <c r="E31" s="28" t="n">
        <f aca="false">IFERROR(D31/C31,0)</f>
        <v>0.158305451634107</v>
      </c>
    </row>
    <row r="32" customFormat="false" ht="15" hidden="false" customHeight="true" outlineLevel="0" collapsed="false">
      <c r="A32" s="6" t="s">
        <v>90</v>
      </c>
      <c r="B32" s="7" t="n">
        <f aca="false">Well_Solar!F14</f>
        <v>29750</v>
      </c>
      <c r="C32" s="42" t="n">
        <f aca="false">B7*Inputs!B46*AVERAGE(Inputs!B52,Inputs!B53,Inputs!B54)*(1-Inputs!B73)*(1-Inputs!B74)/Inputs!B72</f>
        <v>28435.9362666667</v>
      </c>
      <c r="D32" s="42" t="n">
        <f aca="false">B32-C32</f>
        <v>1314.06373333333</v>
      </c>
      <c r="E32" s="28" t="n">
        <f aca="false">IFERROR(D32/C32,0)</f>
        <v>0.0462113756695155</v>
      </c>
    </row>
    <row r="33" customFormat="false" ht="15" hidden="false" customHeight="true" outlineLevel="0" collapsed="false">
      <c r="A33" s="6" t="s">
        <v>91</v>
      </c>
      <c r="B33" s="7" t="n">
        <f aca="false">Well_Solar!F15</f>
        <v>26775</v>
      </c>
      <c r="C33" s="42" t="n">
        <f aca="false">B7*Inputs!B47*AVERAGE(Inputs!B52,Inputs!B53,Inputs!B54)*(1-Inputs!B73)*(1-Inputs!B74)/Inputs!B72</f>
        <v>27518.648</v>
      </c>
      <c r="D33" s="42" t="n">
        <f aca="false">B33-C33</f>
        <v>-743.647999999997</v>
      </c>
      <c r="E33" s="28" t="n">
        <f aca="false">IFERROR(D33/C33,0)</f>
        <v>-0.0270234206273505</v>
      </c>
    </row>
    <row r="34" customFormat="false" ht="15" hidden="false" customHeight="true" outlineLevel="0" collapsed="false">
      <c r="A34" s="6" t="s">
        <v>92</v>
      </c>
      <c r="B34" s="7" t="n">
        <f aca="false">Well_Solar!F16</f>
        <v>24395</v>
      </c>
      <c r="C34" s="42" t="n">
        <f aca="false">B7*Inputs!B48*AVERAGE(Inputs!B52,Inputs!B53,Inputs!B54)*(1-Inputs!B73)*(1-Inputs!B74)/Inputs!B72</f>
        <v>25684.0714666667</v>
      </c>
      <c r="D34" s="42" t="n">
        <f aca="false">B34-C34</f>
        <v>-1289.07146666667</v>
      </c>
      <c r="E34" s="28" t="n">
        <f aca="false">IFERROR(D34/C34,0)</f>
        <v>-0.0501895296600328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8" min="2" style="1" width="16"/>
  </cols>
  <sheetData>
    <row r="1" customFormat="false" ht="17.25" hidden="false" customHeight="true" outlineLevel="0" collapsed="false">
      <c r="A1" s="19" t="s">
        <v>176</v>
      </c>
    </row>
    <row r="2" customFormat="false" ht="15" hidden="false" customHeight="true" outlineLevel="0" collapsed="false">
      <c r="A2" s="3" t="s">
        <v>177</v>
      </c>
    </row>
    <row r="4" customFormat="false" ht="15" hidden="false" customHeight="true" outlineLevel="0" collapsed="false">
      <c r="A4" s="5" t="s">
        <v>94</v>
      </c>
      <c r="B4" s="5" t="s">
        <v>178</v>
      </c>
      <c r="C4" s="5" t="s">
        <v>179</v>
      </c>
      <c r="D4" s="5" t="s">
        <v>97</v>
      </c>
      <c r="E4" s="5" t="s">
        <v>102</v>
      </c>
      <c r="F4" s="5" t="s">
        <v>180</v>
      </c>
      <c r="G4" s="5" t="s">
        <v>181</v>
      </c>
      <c r="H4" s="5" t="s">
        <v>182</v>
      </c>
    </row>
    <row r="5" customFormat="false" ht="15" hidden="false" customHeight="true" outlineLevel="0" collapsed="false">
      <c r="A5" s="6" t="s">
        <v>98</v>
      </c>
      <c r="B5" s="42" t="n">
        <f aca="false">Inputs!B30*Inputs!B33*Inputs!B64</f>
        <v>1517.5725</v>
      </c>
      <c r="C5" s="42" t="n">
        <f aca="false">Inputs!B32*Inputs!B33*Inputs!C64</f>
        <v>2124.6015</v>
      </c>
      <c r="D5" s="43" t="n">
        <f aca="false">Inputs!D52</f>
        <v>2.5</v>
      </c>
      <c r="E5" s="44" t="n">
        <f aca="false">Inputs!B58</f>
        <v>5</v>
      </c>
      <c r="F5" s="42" t="n">
        <f aca="false">B5*D5*E5</f>
        <v>18969.65625</v>
      </c>
      <c r="G5" s="42" t="n">
        <f aca="false">C5*D5*E5</f>
        <v>26557.51875</v>
      </c>
      <c r="H5" s="36" t="n">
        <f aca="false">F5+G5</f>
        <v>45527.175</v>
      </c>
    </row>
    <row r="6" customFormat="false" ht="15" hidden="false" customHeight="true" outlineLevel="0" collapsed="false">
      <c r="A6" s="6" t="s">
        <v>99</v>
      </c>
      <c r="B6" s="42" t="n">
        <f aca="false">Inputs!B30*Inputs!B33*Inputs!B65</f>
        <v>758.78625</v>
      </c>
      <c r="C6" s="42" t="n">
        <f aca="false">Inputs!B32*Inputs!B33*Inputs!C65</f>
        <v>607.029</v>
      </c>
      <c r="D6" s="43" t="n">
        <f aca="false">Inputs!D53</f>
        <v>4</v>
      </c>
      <c r="E6" s="44" t="n">
        <f aca="false">Inputs!B59</f>
        <v>2</v>
      </c>
      <c r="F6" s="42" t="n">
        <f aca="false">B6*D6*E6</f>
        <v>6070.29</v>
      </c>
      <c r="G6" s="42" t="n">
        <f aca="false">C6*D6*E6</f>
        <v>4856.232</v>
      </c>
      <c r="H6" s="36" t="n">
        <f aca="false">F6+G6</f>
        <v>10926.522</v>
      </c>
    </row>
    <row r="7" customFormat="false" ht="15" hidden="false" customHeight="true" outlineLevel="0" collapsed="false">
      <c r="A7" s="6" t="s">
        <v>100</v>
      </c>
      <c r="B7" s="42" t="n">
        <f aca="false">Inputs!B30*Inputs!B33*Inputs!B66</f>
        <v>758.78625</v>
      </c>
      <c r="C7" s="42" t="n">
        <f aca="false">Inputs!B32*Inputs!B33*Inputs!C66</f>
        <v>303.5145</v>
      </c>
      <c r="D7" s="43" t="n">
        <f aca="false">Inputs!D54</f>
        <v>1.5</v>
      </c>
      <c r="E7" s="44" t="n">
        <f aca="false">Inputs!B60</f>
        <v>2</v>
      </c>
      <c r="F7" s="42" t="n">
        <f aca="false">B7*D7*E7</f>
        <v>2276.35875</v>
      </c>
      <c r="G7" s="42" t="n">
        <f aca="false">C7*D7*E7</f>
        <v>910.5435</v>
      </c>
      <c r="H7" s="36" t="n">
        <f aca="false">F7+G7</f>
        <v>3186.90225</v>
      </c>
    </row>
    <row r="8" customFormat="false" ht="15" hidden="false" customHeight="true" outlineLevel="0" collapsed="false">
      <c r="A8" s="35" t="s">
        <v>183</v>
      </c>
      <c r="B8" s="36" t="n">
        <f aca="false">SUM(B5:B7)</f>
        <v>3035.145</v>
      </c>
      <c r="C8" s="36" t="n">
        <f aca="false">SUM(C5:C7)</f>
        <v>3035.145</v>
      </c>
      <c r="F8" s="36" t="n">
        <f aca="false">SUM(F5:F7)</f>
        <v>27316.305</v>
      </c>
      <c r="G8" s="36" t="n">
        <f aca="false">SUM(G5:G7)</f>
        <v>32324.29425</v>
      </c>
      <c r="H8" s="36" t="n">
        <f aca="false">SUM(H5:H7)</f>
        <v>59640.59925</v>
      </c>
    </row>
    <row r="10" customFormat="false" ht="15" hidden="false" customHeight="true" outlineLevel="0" collapsed="false">
      <c r="A10" s="35" t="s">
        <v>184</v>
      </c>
    </row>
    <row r="11" customFormat="false" ht="15" hidden="false" customHeight="true" outlineLevel="0" collapsed="false">
      <c r="A11" s="6" t="s">
        <v>185</v>
      </c>
      <c r="B11" s="45" t="n">
        <v>0.4</v>
      </c>
      <c r="C11" s="8" t="s">
        <v>186</v>
      </c>
    </row>
    <row r="12" customFormat="false" ht="15" hidden="false" customHeight="true" outlineLevel="0" collapsed="false">
      <c r="A12" s="35" t="s">
        <v>187</v>
      </c>
      <c r="B12" s="36" t="n">
        <f aca="false">H8/B11</f>
        <v>149101.498125</v>
      </c>
    </row>
    <row r="13" customFormat="false" ht="15" hidden="false" customHeight="true" outlineLevel="0" collapsed="false">
      <c r="A13" s="35" t="s">
        <v>188</v>
      </c>
      <c r="B13" s="46" t="n">
        <f aca="false">B12/365</f>
        <v>408.497255136986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70"/>
  </cols>
  <sheetData>
    <row r="1" customFormat="false" ht="17.25" hidden="false" customHeight="true" outlineLevel="0" collapsed="false">
      <c r="A1" s="19" t="s">
        <v>189</v>
      </c>
    </row>
    <row r="2" customFormat="false" ht="15" hidden="false" customHeight="true" outlineLevel="0" collapsed="false">
      <c r="A2" s="3" t="s">
        <v>190</v>
      </c>
    </row>
    <row r="4" customFormat="false" ht="26.25" hidden="false" customHeight="true" outlineLevel="0" collapsed="false">
      <c r="A4" s="47" t="s">
        <v>191</v>
      </c>
      <c r="B4" s="48" t="s">
        <v>192</v>
      </c>
    </row>
    <row r="5" customFormat="false" ht="26.25" hidden="false" customHeight="true" outlineLevel="0" collapsed="false">
      <c r="A5" s="47" t="s">
        <v>193</v>
      </c>
      <c r="B5" s="48" t="s">
        <v>194</v>
      </c>
    </row>
    <row r="6" customFormat="false" ht="15" hidden="false" customHeight="true" outlineLevel="0" collapsed="false">
      <c r="A6" s="47" t="s">
        <v>195</v>
      </c>
      <c r="B6" s="48" t="s">
        <v>196</v>
      </c>
    </row>
    <row r="7" customFormat="false" ht="26.25" hidden="false" customHeight="true" outlineLevel="0" collapsed="false">
      <c r="A7" s="47" t="s">
        <v>109</v>
      </c>
      <c r="B7" s="48" t="s">
        <v>197</v>
      </c>
    </row>
    <row r="8" customFormat="false" ht="26.25" hidden="false" customHeight="true" outlineLevel="0" collapsed="false">
      <c r="A8" s="47" t="s">
        <v>111</v>
      </c>
      <c r="B8" s="48" t="s">
        <v>198</v>
      </c>
    </row>
    <row r="9" customFormat="false" ht="26.25" hidden="false" customHeight="true" outlineLevel="0" collapsed="false">
      <c r="A9" s="47" t="s">
        <v>112</v>
      </c>
      <c r="B9" s="48" t="s">
        <v>199</v>
      </c>
    </row>
    <row r="10" customFormat="false" ht="26.25" hidden="false" customHeight="true" outlineLevel="0" collapsed="false">
      <c r="A10" s="47" t="s">
        <v>200</v>
      </c>
      <c r="B10" s="48" t="s">
        <v>201</v>
      </c>
    </row>
    <row r="11" customFormat="false" ht="15" hidden="false" customHeight="true" outlineLevel="0" collapsed="false">
      <c r="A11" s="47" t="s">
        <v>202</v>
      </c>
      <c r="B11" s="48" t="s">
        <v>203</v>
      </c>
    </row>
    <row r="12" customFormat="false" ht="26.25" hidden="false" customHeight="true" outlineLevel="0" collapsed="false">
      <c r="A12" s="47" t="s">
        <v>204</v>
      </c>
      <c r="B12" s="48" t="s">
        <v>205</v>
      </c>
    </row>
    <row r="13" customFormat="false" ht="15" hidden="false" customHeight="true" outlineLevel="0" collapsed="false">
      <c r="A13" s="47" t="s">
        <v>206</v>
      </c>
      <c r="B13" s="48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2026-05-08T14:43:35Z</dcterms:created>
  <dc:creator>openpyxl</dc:creator>
  <dc:description/>
  <dc:language>en-US</dc:language>
  <cp:lastModifiedBy/>
  <dcterms:modified xsi:type="dcterms:W3CDTF">2026-05-10T14:28:15Z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